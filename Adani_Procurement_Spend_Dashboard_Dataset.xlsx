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3.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D:\Downloads\"/>
    </mc:Choice>
  </mc:AlternateContent>
  <xr:revisionPtr revIDLastSave="0" documentId="13_ncr:1_{3BE3000A-BA5C-43DB-9167-88072CE673FE}" xr6:coauthVersionLast="47" xr6:coauthVersionMax="47" xr10:uidLastSave="{00000000-0000-0000-0000-000000000000}"/>
  <bookViews>
    <workbookView xWindow="-120" yWindow="-120" windowWidth="20730" windowHeight="11160" xr2:uid="{00000000-000D-0000-FFFF-FFFF00000000}"/>
  </bookViews>
  <sheets>
    <sheet name="Dashboard" sheetId="11" r:id="rId1"/>
    <sheet name="Sheet7" sheetId="12" r:id="rId2"/>
    <sheet name="Purchase_Orders" sheetId="1" r:id="rId3"/>
    <sheet name="Pivot1" sheetId="6" r:id="rId4"/>
    <sheet name="Pivot 2" sheetId="7" r:id="rId5"/>
    <sheet name="Pivot4" sheetId="9" r:id="rId6"/>
    <sheet name="Suppliers" sheetId="2" r:id="rId7"/>
    <sheet name="Pivot3" sheetId="8" r:id="rId8"/>
    <sheet name="Invoices" sheetId="3" r:id="rId9"/>
    <sheet name="Detail1" sheetId="13" r:id="rId10"/>
    <sheet name="Budget" sheetId="4" r:id="rId11"/>
    <sheet name="Calendar" sheetId="5" r:id="rId12"/>
  </sheets>
  <definedNames>
    <definedName name="Slicer_Category">#N/A</definedName>
  </definedNames>
  <calcPr calcId="191029"/>
  <pivotCaches>
    <pivotCache cacheId="0" r:id="rId13"/>
    <pivotCache cacheId="1" r:id="rId14"/>
    <pivotCache cacheId="2" r:id="rId15"/>
    <pivotCache cacheId="3" r:id="rId16"/>
    <pivotCache cacheId="4" r:id="rId17"/>
    <pivotCache cacheId="5" r:id="rId18"/>
  </pivotCaches>
  <extLs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9" i="12" l="1"/>
  <c r="D8" i="12"/>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alcChain>
</file>

<file path=xl/sharedStrings.xml><?xml version="1.0" encoding="utf-8"?>
<sst xmlns="http://schemas.openxmlformats.org/spreadsheetml/2006/main" count="2252" uniqueCount="420">
  <si>
    <t>PO_ID</t>
  </si>
  <si>
    <t>PO_Date</t>
  </si>
  <si>
    <t>Category</t>
  </si>
  <si>
    <t>Material</t>
  </si>
  <si>
    <t>Supplier_ID</t>
  </si>
  <si>
    <t>Country</t>
  </si>
  <si>
    <t>Qty</t>
  </si>
  <si>
    <t>Unit_Price_INR</t>
  </si>
  <si>
    <t>Status</t>
  </si>
  <si>
    <t>PO0001</t>
  </si>
  <si>
    <t>Airports</t>
  </si>
  <si>
    <t>Security Scanner</t>
  </si>
  <si>
    <t>SUP004</t>
  </si>
  <si>
    <t>Japan</t>
  </si>
  <si>
    <t>Open</t>
  </si>
  <si>
    <t>PO0002</t>
  </si>
  <si>
    <t>SUP005</t>
  </si>
  <si>
    <t>France</t>
  </si>
  <si>
    <t>Closed</t>
  </si>
  <si>
    <t>PO0003</t>
  </si>
  <si>
    <t>Solar</t>
  </si>
  <si>
    <t>Solar Module</t>
  </si>
  <si>
    <t>SUP001</t>
  </si>
  <si>
    <t>India</t>
  </si>
  <si>
    <t>PO0004</t>
  </si>
  <si>
    <t>Mining</t>
  </si>
  <si>
    <t>Excavator Parts</t>
  </si>
  <si>
    <t>PO0005</t>
  </si>
  <si>
    <t>Energy</t>
  </si>
  <si>
    <t>Turbine Part</t>
  </si>
  <si>
    <t>SUP003</t>
  </si>
  <si>
    <t>Australia</t>
  </si>
  <si>
    <t>In Transit</t>
  </si>
  <si>
    <t>PO0006</t>
  </si>
  <si>
    <t>PO0007</t>
  </si>
  <si>
    <t>PO0008</t>
  </si>
  <si>
    <t>Transformer</t>
  </si>
  <si>
    <t>PO0009</t>
  </si>
  <si>
    <t>SUP002</t>
  </si>
  <si>
    <t>China</t>
  </si>
  <si>
    <t>PO0010</t>
  </si>
  <si>
    <t>HVAC</t>
  </si>
  <si>
    <t>PO0011</t>
  </si>
  <si>
    <t>Inverter</t>
  </si>
  <si>
    <t>PO0012</t>
  </si>
  <si>
    <t>PO0013</t>
  </si>
  <si>
    <t>Data Centers</t>
  </si>
  <si>
    <t>Cooling Unit</t>
  </si>
  <si>
    <t>PO0014</t>
  </si>
  <si>
    <t>PO0015</t>
  </si>
  <si>
    <t>SUP006</t>
  </si>
  <si>
    <t>UAE</t>
  </si>
  <si>
    <t>PO0016</t>
  </si>
  <si>
    <t>PO0017</t>
  </si>
  <si>
    <t>PO0018</t>
  </si>
  <si>
    <t>Server Rack</t>
  </si>
  <si>
    <t>PO0019</t>
  </si>
  <si>
    <t>Conveyor Belt</t>
  </si>
  <si>
    <t>PO0020</t>
  </si>
  <si>
    <t>PO0021</t>
  </si>
  <si>
    <t>PO0022</t>
  </si>
  <si>
    <t>PO0023</t>
  </si>
  <si>
    <t>Logistics</t>
  </si>
  <si>
    <t>Diesel Pump</t>
  </si>
  <si>
    <t>PO0024</t>
  </si>
  <si>
    <t>PO0025</t>
  </si>
  <si>
    <t>PO0026</t>
  </si>
  <si>
    <t>PO0027</t>
  </si>
  <si>
    <t>PO0028</t>
  </si>
  <si>
    <t>PO0029</t>
  </si>
  <si>
    <t>PO0030</t>
  </si>
  <si>
    <t>PO0031</t>
  </si>
  <si>
    <t>PO0032</t>
  </si>
  <si>
    <t>PO0033</t>
  </si>
  <si>
    <t>PO0034</t>
  </si>
  <si>
    <t>PO0035</t>
  </si>
  <si>
    <t>PO0036</t>
  </si>
  <si>
    <t>Truck Tyre</t>
  </si>
  <si>
    <t>PO0037</t>
  </si>
  <si>
    <t>PO0038</t>
  </si>
  <si>
    <t>PO0039</t>
  </si>
  <si>
    <t>PO0040</t>
  </si>
  <si>
    <t>PO0041</t>
  </si>
  <si>
    <t>PO0042</t>
  </si>
  <si>
    <t>PO0043</t>
  </si>
  <si>
    <t>PO0044</t>
  </si>
  <si>
    <t>PO0045</t>
  </si>
  <si>
    <t>PO0046</t>
  </si>
  <si>
    <t>PO0047</t>
  </si>
  <si>
    <t>PO0048</t>
  </si>
  <si>
    <t>PO0049</t>
  </si>
  <si>
    <t>PO0050</t>
  </si>
  <si>
    <t>PO0051</t>
  </si>
  <si>
    <t>PO0052</t>
  </si>
  <si>
    <t>PO0053</t>
  </si>
  <si>
    <t>PO0054</t>
  </si>
  <si>
    <t>PO0055</t>
  </si>
  <si>
    <t>PO0056</t>
  </si>
  <si>
    <t>PO0057</t>
  </si>
  <si>
    <t>PO0058</t>
  </si>
  <si>
    <t>PO0059</t>
  </si>
  <si>
    <t>PO0060</t>
  </si>
  <si>
    <t>PO0061</t>
  </si>
  <si>
    <t>PO0062</t>
  </si>
  <si>
    <t>PO0063</t>
  </si>
  <si>
    <t>PO0064</t>
  </si>
  <si>
    <t>PO0065</t>
  </si>
  <si>
    <t>PO0066</t>
  </si>
  <si>
    <t>PO0067</t>
  </si>
  <si>
    <t>PO0068</t>
  </si>
  <si>
    <t>PO0069</t>
  </si>
  <si>
    <t>PO0070</t>
  </si>
  <si>
    <t>PO0071</t>
  </si>
  <si>
    <t>PO0072</t>
  </si>
  <si>
    <t>PO0073</t>
  </si>
  <si>
    <t>PO0074</t>
  </si>
  <si>
    <t>PO0075</t>
  </si>
  <si>
    <t>PO0076</t>
  </si>
  <si>
    <t>PO0077</t>
  </si>
  <si>
    <t>PO0078</t>
  </si>
  <si>
    <t>PO0079</t>
  </si>
  <si>
    <t>PO0080</t>
  </si>
  <si>
    <t>PO0081</t>
  </si>
  <si>
    <t>PO0082</t>
  </si>
  <si>
    <t>PO0083</t>
  </si>
  <si>
    <t>PO0084</t>
  </si>
  <si>
    <t>PO0085</t>
  </si>
  <si>
    <t>PO0086</t>
  </si>
  <si>
    <t>PO0087</t>
  </si>
  <si>
    <t>PO0088</t>
  </si>
  <si>
    <t>PO0089</t>
  </si>
  <si>
    <t>PO0090</t>
  </si>
  <si>
    <t>PO0091</t>
  </si>
  <si>
    <t>PO0092</t>
  </si>
  <si>
    <t>PO0093</t>
  </si>
  <si>
    <t>PO0094</t>
  </si>
  <si>
    <t>PO0095</t>
  </si>
  <si>
    <t>PO0096</t>
  </si>
  <si>
    <t>PO0097</t>
  </si>
  <si>
    <t>PO0098</t>
  </si>
  <si>
    <t>PO0099</t>
  </si>
  <si>
    <t>PO0100</t>
  </si>
  <si>
    <t>PO0101</t>
  </si>
  <si>
    <t>PO0102</t>
  </si>
  <si>
    <t>PO0103</t>
  </si>
  <si>
    <t>PO0104</t>
  </si>
  <si>
    <t>PO0105</t>
  </si>
  <si>
    <t>PO0106</t>
  </si>
  <si>
    <t>PO0107</t>
  </si>
  <si>
    <t>PO0108</t>
  </si>
  <si>
    <t>PO0109</t>
  </si>
  <si>
    <t>PO0110</t>
  </si>
  <si>
    <t>PO0111</t>
  </si>
  <si>
    <t>PO0112</t>
  </si>
  <si>
    <t>PO0113</t>
  </si>
  <si>
    <t>PO0114</t>
  </si>
  <si>
    <t>PO0115</t>
  </si>
  <si>
    <t>PO0116</t>
  </si>
  <si>
    <t>PO0117</t>
  </si>
  <si>
    <t>PO0118</t>
  </si>
  <si>
    <t>PO0119</t>
  </si>
  <si>
    <t>PO0120</t>
  </si>
  <si>
    <t>PO0121</t>
  </si>
  <si>
    <t>PO0122</t>
  </si>
  <si>
    <t>PO0123</t>
  </si>
  <si>
    <t>PO0124</t>
  </si>
  <si>
    <t>PO0125</t>
  </si>
  <si>
    <t>PO0126</t>
  </si>
  <si>
    <t>PO0127</t>
  </si>
  <si>
    <t>PO0128</t>
  </si>
  <si>
    <t>PO0129</t>
  </si>
  <si>
    <t>PO0130</t>
  </si>
  <si>
    <t>PO0131</t>
  </si>
  <si>
    <t>PO0132</t>
  </si>
  <si>
    <t>PO0133</t>
  </si>
  <si>
    <t>PO0134</t>
  </si>
  <si>
    <t>PO0135</t>
  </si>
  <si>
    <t>PO0136</t>
  </si>
  <si>
    <t>PO0137</t>
  </si>
  <si>
    <t>PO0138</t>
  </si>
  <si>
    <t>PO0139</t>
  </si>
  <si>
    <t>PO0140</t>
  </si>
  <si>
    <t>PO0141</t>
  </si>
  <si>
    <t>PO0142</t>
  </si>
  <si>
    <t>PO0143</t>
  </si>
  <si>
    <t>PO0144</t>
  </si>
  <si>
    <t>PO0145</t>
  </si>
  <si>
    <t>PO0146</t>
  </si>
  <si>
    <t>PO0147</t>
  </si>
  <si>
    <t>PO0148</t>
  </si>
  <si>
    <t>PO0149</t>
  </si>
  <si>
    <t>PO0150</t>
  </si>
  <si>
    <t>Supplier_Name</t>
  </si>
  <si>
    <t>Preferred_Category</t>
  </si>
  <si>
    <t>Contract_Start</t>
  </si>
  <si>
    <t>Contract_End</t>
  </si>
  <si>
    <t>On_Time_Delivery_%</t>
  </si>
  <si>
    <t>Quality_Score</t>
  </si>
  <si>
    <t>Payment_Terms</t>
  </si>
  <si>
    <t>Siemens India</t>
  </si>
  <si>
    <t>45 Days</t>
  </si>
  <si>
    <t>Shanghai Solar Tech</t>
  </si>
  <si>
    <t>60 Days</t>
  </si>
  <si>
    <t>BHP Supplies</t>
  </si>
  <si>
    <t>Hitachi</t>
  </si>
  <si>
    <t>Schneider Electric</t>
  </si>
  <si>
    <t>30 Days</t>
  </si>
  <si>
    <t>DP World Industrial</t>
  </si>
  <si>
    <t>Invoice_ID</t>
  </si>
  <si>
    <t>Invoice_Date</t>
  </si>
  <si>
    <t>Invoice_Amount_INR</t>
  </si>
  <si>
    <t>Payment_Status</t>
  </si>
  <si>
    <t>INV0001</t>
  </si>
  <si>
    <t>Pending</t>
  </si>
  <si>
    <t>INV0002</t>
  </si>
  <si>
    <t>Paid</t>
  </si>
  <si>
    <t>INV0003</t>
  </si>
  <si>
    <t>Overdue</t>
  </si>
  <si>
    <t>INV0004</t>
  </si>
  <si>
    <t>INV0005</t>
  </si>
  <si>
    <t>INV0006</t>
  </si>
  <si>
    <t>INV0007</t>
  </si>
  <si>
    <t>INV0008</t>
  </si>
  <si>
    <t>INV0009</t>
  </si>
  <si>
    <t>INV0010</t>
  </si>
  <si>
    <t>INV0011</t>
  </si>
  <si>
    <t>INV0012</t>
  </si>
  <si>
    <t>INV0013</t>
  </si>
  <si>
    <t>INV0014</t>
  </si>
  <si>
    <t>INV0015</t>
  </si>
  <si>
    <t>INV0016</t>
  </si>
  <si>
    <t>INV0017</t>
  </si>
  <si>
    <t>INV0018</t>
  </si>
  <si>
    <t>INV0019</t>
  </si>
  <si>
    <t>INV0020</t>
  </si>
  <si>
    <t>INV0021</t>
  </si>
  <si>
    <t>INV0022</t>
  </si>
  <si>
    <t>INV0023</t>
  </si>
  <si>
    <t>INV0024</t>
  </si>
  <si>
    <t>INV0025</t>
  </si>
  <si>
    <t>INV0026</t>
  </si>
  <si>
    <t>INV0027</t>
  </si>
  <si>
    <t>INV0028</t>
  </si>
  <si>
    <t>INV0029</t>
  </si>
  <si>
    <t>INV0030</t>
  </si>
  <si>
    <t>INV0031</t>
  </si>
  <si>
    <t>INV0032</t>
  </si>
  <si>
    <t>INV0033</t>
  </si>
  <si>
    <t>INV0034</t>
  </si>
  <si>
    <t>INV0035</t>
  </si>
  <si>
    <t>INV0036</t>
  </si>
  <si>
    <t>INV0037</t>
  </si>
  <si>
    <t>INV0038</t>
  </si>
  <si>
    <t>INV0039</t>
  </si>
  <si>
    <t>INV0040</t>
  </si>
  <si>
    <t>INV0041</t>
  </si>
  <si>
    <t>INV0042</t>
  </si>
  <si>
    <t>INV0043</t>
  </si>
  <si>
    <t>INV0044</t>
  </si>
  <si>
    <t>INV0045</t>
  </si>
  <si>
    <t>INV0046</t>
  </si>
  <si>
    <t>INV0047</t>
  </si>
  <si>
    <t>INV0048</t>
  </si>
  <si>
    <t>INV0049</t>
  </si>
  <si>
    <t>INV0050</t>
  </si>
  <si>
    <t>INV0051</t>
  </si>
  <si>
    <t>INV0052</t>
  </si>
  <si>
    <t>INV0053</t>
  </si>
  <si>
    <t>INV0054</t>
  </si>
  <si>
    <t>INV0055</t>
  </si>
  <si>
    <t>INV0056</t>
  </si>
  <si>
    <t>INV0057</t>
  </si>
  <si>
    <t>INV0058</t>
  </si>
  <si>
    <t>INV0059</t>
  </si>
  <si>
    <t>INV0060</t>
  </si>
  <si>
    <t>INV0061</t>
  </si>
  <si>
    <t>INV0062</t>
  </si>
  <si>
    <t>INV0063</t>
  </si>
  <si>
    <t>INV0064</t>
  </si>
  <si>
    <t>INV0065</t>
  </si>
  <si>
    <t>INV0066</t>
  </si>
  <si>
    <t>INV0067</t>
  </si>
  <si>
    <t>INV0068</t>
  </si>
  <si>
    <t>INV0069</t>
  </si>
  <si>
    <t>INV0070</t>
  </si>
  <si>
    <t>INV0071</t>
  </si>
  <si>
    <t>INV0072</t>
  </si>
  <si>
    <t>INV0073</t>
  </si>
  <si>
    <t>INV0074</t>
  </si>
  <si>
    <t>INV0075</t>
  </si>
  <si>
    <t>INV0076</t>
  </si>
  <si>
    <t>INV0077</t>
  </si>
  <si>
    <t>INV0078</t>
  </si>
  <si>
    <t>INV0079</t>
  </si>
  <si>
    <t>INV0080</t>
  </si>
  <si>
    <t>INV0081</t>
  </si>
  <si>
    <t>INV0082</t>
  </si>
  <si>
    <t>INV0083</t>
  </si>
  <si>
    <t>INV0084</t>
  </si>
  <si>
    <t>INV0085</t>
  </si>
  <si>
    <t>INV0086</t>
  </si>
  <si>
    <t>INV0087</t>
  </si>
  <si>
    <t>INV0088</t>
  </si>
  <si>
    <t>INV0089</t>
  </si>
  <si>
    <t>INV0090</t>
  </si>
  <si>
    <t>INV0091</t>
  </si>
  <si>
    <t>INV0092</t>
  </si>
  <si>
    <t>INV0093</t>
  </si>
  <si>
    <t>INV0094</t>
  </si>
  <si>
    <t>INV0095</t>
  </si>
  <si>
    <t>INV0096</t>
  </si>
  <si>
    <t>INV0097</t>
  </si>
  <si>
    <t>INV0098</t>
  </si>
  <si>
    <t>INV0099</t>
  </si>
  <si>
    <t>INV0100</t>
  </si>
  <si>
    <t>INV0101</t>
  </si>
  <si>
    <t>INV0102</t>
  </si>
  <si>
    <t>INV0103</t>
  </si>
  <si>
    <t>INV0104</t>
  </si>
  <si>
    <t>INV0105</t>
  </si>
  <si>
    <t>INV0106</t>
  </si>
  <si>
    <t>INV0107</t>
  </si>
  <si>
    <t>INV0108</t>
  </si>
  <si>
    <t>INV0109</t>
  </si>
  <si>
    <t>INV0110</t>
  </si>
  <si>
    <t>INV0111</t>
  </si>
  <si>
    <t>INV0112</t>
  </si>
  <si>
    <t>INV0113</t>
  </si>
  <si>
    <t>INV0114</t>
  </si>
  <si>
    <t>INV0115</t>
  </si>
  <si>
    <t>INV0116</t>
  </si>
  <si>
    <t>INV0117</t>
  </si>
  <si>
    <t>INV0118</t>
  </si>
  <si>
    <t>INV0119</t>
  </si>
  <si>
    <t>INV0120</t>
  </si>
  <si>
    <t>INV0121</t>
  </si>
  <si>
    <t>INV0122</t>
  </si>
  <si>
    <t>INV0123</t>
  </si>
  <si>
    <t>INV0124</t>
  </si>
  <si>
    <t>INV0125</t>
  </si>
  <si>
    <t>INV0126</t>
  </si>
  <si>
    <t>INV0127</t>
  </si>
  <si>
    <t>INV0128</t>
  </si>
  <si>
    <t>INV0129</t>
  </si>
  <si>
    <t>INV0130</t>
  </si>
  <si>
    <t>INV0131</t>
  </si>
  <si>
    <t>INV0132</t>
  </si>
  <si>
    <t>INV0133</t>
  </si>
  <si>
    <t>INV0134</t>
  </si>
  <si>
    <t>INV0135</t>
  </si>
  <si>
    <t>INV0136</t>
  </si>
  <si>
    <t>INV0137</t>
  </si>
  <si>
    <t>INV0138</t>
  </si>
  <si>
    <t>INV0139</t>
  </si>
  <si>
    <t>INV0140</t>
  </si>
  <si>
    <t>INV0141</t>
  </si>
  <si>
    <t>INV0142</t>
  </si>
  <si>
    <t>INV0143</t>
  </si>
  <si>
    <t>INV0144</t>
  </si>
  <si>
    <t>INV0145</t>
  </si>
  <si>
    <t>INV0146</t>
  </si>
  <si>
    <t>INV0147</t>
  </si>
  <si>
    <t>INV0148</t>
  </si>
  <si>
    <t>INV0149</t>
  </si>
  <si>
    <t>INV0150</t>
  </si>
  <si>
    <t>Business_Unit</t>
  </si>
  <si>
    <t>Month</t>
  </si>
  <si>
    <t>Budget_INR</t>
  </si>
  <si>
    <t>Jan</t>
  </si>
  <si>
    <t>Feb</t>
  </si>
  <si>
    <t>Mar</t>
  </si>
  <si>
    <t>Apr</t>
  </si>
  <si>
    <t>May</t>
  </si>
  <si>
    <t>Jun</t>
  </si>
  <si>
    <t>Date</t>
  </si>
  <si>
    <t>Year</t>
  </si>
  <si>
    <t>Quarter</t>
  </si>
  <si>
    <t>Q1</t>
  </si>
  <si>
    <t>Q2</t>
  </si>
  <si>
    <t>Row Labels</t>
  </si>
  <si>
    <t>Grand Total</t>
  </si>
  <si>
    <t>Sum of Total spend</t>
  </si>
  <si>
    <t>Buisness units</t>
  </si>
  <si>
    <t>Coutrywise Total spend:</t>
  </si>
  <si>
    <t>Column Labels</t>
  </si>
  <si>
    <t xml:space="preserve">PO value </t>
  </si>
  <si>
    <t>Spend by Buisness Unit</t>
  </si>
  <si>
    <t>Sum of Budget_INR</t>
  </si>
  <si>
    <t>Jul</t>
  </si>
  <si>
    <t>Sum of Invoice_Amount_INR</t>
  </si>
  <si>
    <t>Material spend</t>
  </si>
  <si>
    <t>Total Spend By Suppliers for each category</t>
  </si>
  <si>
    <t>Invoice Status Monthwise</t>
  </si>
  <si>
    <t>Purchase Order(PO) Status:</t>
  </si>
  <si>
    <t>Monthly Budget Amount</t>
  </si>
  <si>
    <t xml:space="preserve">Monthly PO Amount </t>
  </si>
  <si>
    <t>Total Procurement Spend</t>
  </si>
  <si>
    <t>Budget Utilization %</t>
  </si>
  <si>
    <t>Budget Variance</t>
  </si>
  <si>
    <t>Total Purchase Orders</t>
  </si>
  <si>
    <t>Active Suppliers</t>
  </si>
  <si>
    <t>Average On-Time Delivery %</t>
  </si>
  <si>
    <t xml:space="preserve">Sum of PO value </t>
  </si>
  <si>
    <t>Sum of Average PO value</t>
  </si>
  <si>
    <t>Total Budget</t>
  </si>
  <si>
    <t>Details for Sum of Budget_INR</t>
  </si>
  <si>
    <t>Budget Utilization</t>
  </si>
  <si>
    <t>Total PO value</t>
  </si>
  <si>
    <t>Budget Varient</t>
  </si>
  <si>
    <t>Total Purchase Order</t>
  </si>
  <si>
    <t>(blank)</t>
  </si>
  <si>
    <t>Total Active Suppliers</t>
  </si>
  <si>
    <t>SUP001 highest spend Supplier</t>
  </si>
  <si>
    <t>Catagorywise Total Spend</t>
  </si>
  <si>
    <t>Average PO value</t>
  </si>
  <si>
    <t>Sum of Quality_Score</t>
  </si>
  <si>
    <t>Average of On_Time_Delivery_%</t>
  </si>
  <si>
    <t>Highest spend supplier</t>
  </si>
  <si>
    <t>Lowest spend supplier</t>
  </si>
  <si>
    <t xml:space="preserve">SUP006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</si>
</sst>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3" tint="0.79998168889431442"/>
        <bgColor indexed="64"/>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3">
    <xf numFmtId="0" fontId="0" fillId="0" borderId="0" xfId="0"/>
    <xf numFmtId="0" fontId="1" fillId="0" borderId="0" xfId="0" applyFont="1"/>
    <xf numFmtId="14" fontId="0" fillId="0" borderId="0" xfId="0" applyNumberFormat="1"/>
    <xf numFmtId="1" fontId="0" fillId="0" borderId="0" xfId="0" applyNumberFormat="1"/>
    <xf numFmtId="0" fontId="1" fillId="2" borderId="1" xfId="0" applyFont="1" applyFill="1" applyBorder="1"/>
    <xf numFmtId="0" fontId="0" fillId="0" borderId="0" xfId="0" pivotButton="1"/>
    <xf numFmtId="0" fontId="0" fillId="0" borderId="0" xfId="0" applyAlignment="1">
      <alignment horizontal="left"/>
    </xf>
    <xf numFmtId="10" fontId="0" fillId="0" borderId="0" xfId="0" applyNumberFormat="1"/>
    <xf numFmtId="0" fontId="1" fillId="2" borderId="2" xfId="0" applyFont="1" applyFill="1" applyBorder="1" applyAlignment="1">
      <alignment horizontal="left"/>
    </xf>
    <xf numFmtId="0" fontId="1" fillId="2" borderId="2" xfId="0" applyFont="1" applyFill="1" applyBorder="1"/>
    <xf numFmtId="9" fontId="0" fillId="0" borderId="0" xfId="0" applyNumberFormat="1"/>
    <xf numFmtId="1" fontId="1" fillId="2" borderId="2" xfId="0" applyNumberFormat="1" applyFont="1" applyFill="1" applyBorder="1"/>
    <xf numFmtId="0" fontId="0" fillId="3" borderId="0" xfId="0" applyFill="1"/>
  </cellXfs>
  <cellStyles count="1">
    <cellStyle name="Normal" xfId="0" builtinId="0"/>
  </cellStyles>
  <dxfs count="26">
    <dxf>
      <numFmt numFmtId="0" formatCode="General"/>
    </dxf>
    <dxf>
      <numFmt numFmtId="14" formatCode="0.00%"/>
    </dxf>
    <dxf>
      <numFmt numFmtId="19" formatCode="dd/mm/yyyy"/>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1" formatCode="0"/>
    </dxf>
    <dxf>
      <numFmt numFmtId="1" formatCode="0"/>
    </dxf>
    <dxf>
      <numFmt numFmtId="1" formatCode="0"/>
    </dxf>
    <dxf>
      <numFmt numFmtId="19" formatCode="dd/mm/yyyy"/>
    </dxf>
    <dxf>
      <font>
        <b/>
        <i val="0"/>
        <strike val="0"/>
        <condense val="0"/>
        <extend val="0"/>
        <outline val="0"/>
        <shadow val="0"/>
        <u val="none"/>
        <vertAlign val="baseline"/>
        <sz val="11"/>
        <color theme="1"/>
        <name val="Calibri"/>
        <family val="2"/>
        <scheme val="minor"/>
      </font>
    </dxf>
    <dxf>
      <numFmt numFmtId="19" formatCode="dd/mm/yyyy"/>
    </dxf>
    <dxf>
      <numFmt numFmtId="19" formatCode="dd/mm/yyyy"/>
    </dxf>
    <dxf>
      <font>
        <b/>
        <i val="0"/>
        <strike val="0"/>
        <condense val="0"/>
        <extend val="0"/>
        <outline val="0"/>
        <shadow val="0"/>
        <u val="none"/>
        <vertAlign val="baseline"/>
        <sz val="11"/>
        <color theme="1"/>
        <name val="Calibri"/>
        <family val="2"/>
        <scheme val="minor"/>
      </font>
    </dxf>
    <dxf>
      <numFmt numFmtId="1" formatCode="0"/>
    </dxf>
    <dxf>
      <numFmt numFmtId="14" formatCode="0.00%"/>
    </dxf>
    <dxf>
      <numFmt numFmtId="0" formatCode="General"/>
    </dxf>
    <dxf>
      <numFmt numFmtId="1" formatCode="0"/>
    </dxf>
    <dxf>
      <numFmt numFmtId="0" formatCode="General"/>
    </dxf>
    <dxf>
      <numFmt numFmtId="1" formatCode="0"/>
    </dxf>
    <dxf>
      <numFmt numFmtId="19" formatCode="dd/mm/yyyy"/>
    </dxf>
    <dxf>
      <numFmt numFmtId="1" formatCode="0"/>
    </dxf>
    <dxf>
      <numFmt numFmtId="1" formatCode="0"/>
    </dxf>
    <dxf>
      <numFmt numFmtId="19" formatCode="dd/mm/yyyy"/>
    </dxf>
    <dxf>
      <font>
        <b/>
        <i val="0"/>
        <strike val="0"/>
        <condense val="0"/>
        <extend val="0"/>
        <outline val="0"/>
        <shadow val="0"/>
        <u val="none"/>
        <vertAlign val="baseline"/>
        <sz val="11"/>
        <color theme="1"/>
        <name val="Calibri"/>
        <family val="2"/>
        <scheme val="minor"/>
      </font>
    </dxf>
    <dxf>
      <numFmt numFmtId="1" formatCode="0"/>
    </dxf>
    <dxf>
      <numFmt numFmtId="1" formatCode="0"/>
    </dxf>
  </dxfs>
  <tableStyles count="0" defaultTableStyle="TableStyleMedium9"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[Adani_Procurement_Spend_Dashboard_Dataset.xlsx]Pivot1!PivotTable1</c:name>
    <c:fmtId val="13"/>
  </c:pivotSource>
  <c:chart>
    <c:title>
      <c:tx>
        <c:rich>
          <a:bodyPr rot="0" spcFirstLastPara="1" vertOverflow="ellipsis" vert="horz" wrap="square" anchor="ctr" anchorCtr="1"/>
          <a:lstStyle/>
          <a:p>
            <a:pPr>
              <a:defRPr sz="1600" b="1" i="0" u="none" strike="noStrike" kern="1200" baseline="0">
                <a:solidFill>
                  <a:schemeClr val="bg2">
                    <a:lumMod val="25000"/>
                  </a:schemeClr>
                </a:solidFill>
                <a:latin typeface="+mn-lt"/>
                <a:ea typeface="+mn-ea"/>
                <a:cs typeface="+mn-cs"/>
              </a:defRPr>
            </a:pPr>
            <a:r>
              <a:rPr lang="en-US"/>
              <a:t>Total Spend by Business Unit</a:t>
            </a:r>
          </a:p>
        </c:rich>
      </c:tx>
      <c:layout>
        <c:manualLayout>
          <c:xMode val="edge"/>
          <c:yMode val="edge"/>
          <c:x val="0.2416929116622393"/>
          <c:y val="9.943423738699329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2">
                  <a:lumMod val="2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778657740428821E-2"/>
              <c:y val="6.52295129775444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7786577404288154E-2"/>
              <c:y val="7.70813648293962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manualLayout>
          <c:layoutTarget val="inner"/>
          <c:xMode val="edge"/>
          <c:yMode val="edge"/>
          <c:x val="0.182995227508672"/>
          <c:y val="0.2899579789033675"/>
          <c:w val="0.65737315982965328"/>
          <c:h val="0.42499422980687729"/>
        </c:manualLayout>
      </c:layout>
      <c:lineChart>
        <c:grouping val="standard"/>
        <c:varyColors val="0"/>
        <c:ser>
          <c:idx val="0"/>
          <c:order val="0"/>
          <c:tx>
            <c:strRef>
              <c:f>Pivot1!$B$3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2"/>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1-06A9-41A7-82E9-A684FCFBF5CD}"/>
              </c:ext>
            </c:extLst>
          </c:dPt>
          <c:dPt>
            <c:idx val="4"/>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2-06A9-41A7-82E9-A684FCFBF5CD}"/>
              </c:ext>
            </c:extLst>
          </c:dPt>
          <c:dLbls>
            <c:dLbl>
              <c:idx val="2"/>
              <c:layout>
                <c:manualLayout>
                  <c:x val="-7.778657740428821E-2"/>
                  <c:y val="6.52295129775444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6A9-41A7-82E9-A684FCFBF5CD}"/>
                </c:ext>
              </c:extLst>
            </c:dLbl>
            <c:dLbl>
              <c:idx val="4"/>
              <c:layout>
                <c:manualLayout>
                  <c:x val="-7.7786577404288154E-2"/>
                  <c:y val="7.70813648293962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6A9-41A7-82E9-A684FCFBF5C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Pivot1!$A$4:$A$10</c:f>
              <c:strCache>
                <c:ptCount val="6"/>
                <c:pt idx="0">
                  <c:v>Airports</c:v>
                </c:pt>
                <c:pt idx="1">
                  <c:v>Data Centers</c:v>
                </c:pt>
                <c:pt idx="2">
                  <c:v>Energy</c:v>
                </c:pt>
                <c:pt idx="3">
                  <c:v>Logistics</c:v>
                </c:pt>
                <c:pt idx="4">
                  <c:v>Mining</c:v>
                </c:pt>
                <c:pt idx="5">
                  <c:v>Solar</c:v>
                </c:pt>
              </c:strCache>
            </c:strRef>
          </c:cat>
          <c:val>
            <c:numRef>
              <c:f>Pivot1!$B$4:$B$10</c:f>
              <c:numCache>
                <c:formatCode>0</c:formatCode>
                <c:ptCount val="6"/>
                <c:pt idx="0">
                  <c:v>883362316.23000014</c:v>
                </c:pt>
                <c:pt idx="1">
                  <c:v>1227464047.5800002</c:v>
                </c:pt>
                <c:pt idx="2">
                  <c:v>558533881.42000008</c:v>
                </c:pt>
                <c:pt idx="3">
                  <c:v>742136981.32000017</c:v>
                </c:pt>
                <c:pt idx="4">
                  <c:v>573468419.76999998</c:v>
                </c:pt>
                <c:pt idx="5">
                  <c:v>691747772.09000003</c:v>
                </c:pt>
              </c:numCache>
            </c:numRef>
          </c:val>
          <c:smooth val="0"/>
          <c:extLst>
            <c:ext xmlns:c16="http://schemas.microsoft.com/office/drawing/2014/chart" uri="{C3380CC4-5D6E-409C-BE32-E72D297353CC}">
              <c16:uniqueId val="{00000000-06A9-41A7-82E9-A684FCFBF5CD}"/>
            </c:ext>
          </c:extLst>
        </c:ser>
        <c:dLbls>
          <c:dLblPos val="t"/>
          <c:showLegendKey val="0"/>
          <c:showVal val="1"/>
          <c:showCatName val="0"/>
          <c:showSerName val="0"/>
          <c:showPercent val="0"/>
          <c:showBubbleSize val="0"/>
        </c:dLbls>
        <c:marker val="1"/>
        <c:smooth val="0"/>
        <c:axId val="1475369855"/>
        <c:axId val="1475368895"/>
      </c:lineChart>
      <c:catAx>
        <c:axId val="147536985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bg2">
                        <a:lumMod val="25000"/>
                      </a:schemeClr>
                    </a:solidFill>
                    <a:latin typeface="+mn-lt"/>
                    <a:ea typeface="+mn-ea"/>
                    <a:cs typeface="+mn-cs"/>
                  </a:defRPr>
                </a:pPr>
                <a:r>
                  <a:rPr lang="en-IN"/>
                  <a:t>Business Units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bg2">
                      <a:lumMod val="2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25000"/>
                  </a:schemeClr>
                </a:solidFill>
                <a:latin typeface="+mn-lt"/>
                <a:ea typeface="+mn-ea"/>
                <a:cs typeface="+mn-cs"/>
              </a:defRPr>
            </a:pPr>
            <a:endParaRPr lang="en-US"/>
          </a:p>
        </c:txPr>
        <c:crossAx val="1475368895"/>
        <c:crosses val="autoZero"/>
        <c:auto val="1"/>
        <c:lblAlgn val="ctr"/>
        <c:lblOffset val="100"/>
        <c:noMultiLvlLbl val="0"/>
      </c:catAx>
      <c:valAx>
        <c:axId val="1475368895"/>
        <c:scaling>
          <c:orientation val="minMax"/>
        </c:scaling>
        <c:delete val="1"/>
        <c:axPos val="l"/>
        <c:numFmt formatCode="0" sourceLinked="1"/>
        <c:majorTickMark val="none"/>
        <c:minorTickMark val="none"/>
        <c:tickLblPos val="nextTo"/>
        <c:crossAx val="1475369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bg2">
              <a:lumMod val="2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[Adani_Procurement_Spend_Dashboard_Dataset.xlsx]Pivot 2!PivotTable10</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Catagorywise</a:t>
            </a:r>
            <a:r>
              <a:rPr lang="en-IN" baseline="0"/>
              <a:t> Spend by Supplier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pivotFmt>
      <c:pivotFmt>
        <c:idx val="57"/>
        <c:spPr>
          <a:solidFill>
            <a:schemeClr val="accent1"/>
          </a:solidFill>
          <a:ln>
            <a:noFill/>
          </a:ln>
          <a:effectLst/>
        </c:spPr>
      </c:pivotFmt>
    </c:pivotFmts>
    <c:plotArea>
      <c:layout>
        <c:manualLayout>
          <c:layoutTarget val="inner"/>
          <c:xMode val="edge"/>
          <c:yMode val="edge"/>
          <c:x val="8.9203524733422246E-2"/>
          <c:y val="0.25524672759956446"/>
          <c:w val="0.42768737241178184"/>
          <c:h val="0.59987319766847325"/>
        </c:manualLayout>
      </c:layout>
      <c:pieChart>
        <c:varyColors val="1"/>
        <c:ser>
          <c:idx val="0"/>
          <c:order val="0"/>
          <c:tx>
            <c:strRef>
              <c:f>'Pivot 2'!$B$3:$B$4</c:f>
              <c:strCache>
                <c:ptCount val="1"/>
                <c:pt idx="0">
                  <c:v>Data Centers</c:v>
                </c:pt>
              </c:strCache>
            </c:strRef>
          </c:tx>
          <c:dPt>
            <c:idx val="0"/>
            <c:bubble3D val="0"/>
            <c:spPr>
              <a:solidFill>
                <a:schemeClr val="accent1"/>
              </a:solidFill>
              <a:ln>
                <a:noFill/>
              </a:ln>
              <a:effectLst/>
            </c:spPr>
            <c:extLst>
              <c:ext xmlns:c16="http://schemas.microsoft.com/office/drawing/2014/chart" uri="{C3380CC4-5D6E-409C-BE32-E72D297353CC}">
                <c16:uniqueId val="{00000001-E422-45D0-B117-CCA724269FDE}"/>
              </c:ext>
            </c:extLst>
          </c:dPt>
          <c:dPt>
            <c:idx val="1"/>
            <c:bubble3D val="0"/>
            <c:spPr>
              <a:solidFill>
                <a:schemeClr val="accent2"/>
              </a:solidFill>
              <a:ln>
                <a:noFill/>
              </a:ln>
              <a:effectLst/>
            </c:spPr>
            <c:extLst>
              <c:ext xmlns:c16="http://schemas.microsoft.com/office/drawing/2014/chart" uri="{C3380CC4-5D6E-409C-BE32-E72D297353CC}">
                <c16:uniqueId val="{00000003-E422-45D0-B117-CCA724269FDE}"/>
              </c:ext>
            </c:extLst>
          </c:dPt>
          <c:dPt>
            <c:idx val="2"/>
            <c:bubble3D val="0"/>
            <c:spPr>
              <a:solidFill>
                <a:schemeClr val="accent3"/>
              </a:solidFill>
              <a:ln>
                <a:noFill/>
              </a:ln>
              <a:effectLst/>
            </c:spPr>
            <c:extLst>
              <c:ext xmlns:c16="http://schemas.microsoft.com/office/drawing/2014/chart" uri="{C3380CC4-5D6E-409C-BE32-E72D297353CC}">
                <c16:uniqueId val="{00000005-E422-45D0-B117-CCA724269FDE}"/>
              </c:ext>
            </c:extLst>
          </c:dPt>
          <c:dPt>
            <c:idx val="3"/>
            <c:bubble3D val="0"/>
            <c:spPr>
              <a:solidFill>
                <a:schemeClr val="accent4"/>
              </a:solidFill>
              <a:ln>
                <a:noFill/>
              </a:ln>
              <a:effectLst/>
            </c:spPr>
            <c:extLst>
              <c:ext xmlns:c16="http://schemas.microsoft.com/office/drawing/2014/chart" uri="{C3380CC4-5D6E-409C-BE32-E72D297353CC}">
                <c16:uniqueId val="{00000007-E422-45D0-B117-CCA724269FDE}"/>
              </c:ext>
            </c:extLst>
          </c:dPt>
          <c:dPt>
            <c:idx val="4"/>
            <c:bubble3D val="0"/>
            <c:spPr>
              <a:solidFill>
                <a:schemeClr val="accent5"/>
              </a:solidFill>
              <a:ln>
                <a:noFill/>
              </a:ln>
              <a:effectLst/>
            </c:spPr>
            <c:extLst>
              <c:ext xmlns:c16="http://schemas.microsoft.com/office/drawing/2014/chart" uri="{C3380CC4-5D6E-409C-BE32-E72D297353CC}">
                <c16:uniqueId val="{00000009-E422-45D0-B117-CCA724269FDE}"/>
              </c:ext>
            </c:extLst>
          </c:dPt>
          <c:dPt>
            <c:idx val="5"/>
            <c:bubble3D val="0"/>
            <c:spPr>
              <a:solidFill>
                <a:schemeClr val="accent6"/>
              </a:solidFill>
              <a:ln>
                <a:noFill/>
              </a:ln>
              <a:effectLst/>
            </c:spPr>
            <c:extLst>
              <c:ext xmlns:c16="http://schemas.microsoft.com/office/drawing/2014/chart" uri="{C3380CC4-5D6E-409C-BE32-E72D297353CC}">
                <c16:uniqueId val="{0000000B-E422-45D0-B117-CCA724269FD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2'!$A$5:$A$11</c:f>
              <c:strCache>
                <c:ptCount val="6"/>
                <c:pt idx="0">
                  <c:v>BHP Supplies</c:v>
                </c:pt>
                <c:pt idx="1">
                  <c:v>DP World Industrial</c:v>
                </c:pt>
                <c:pt idx="2">
                  <c:v>Hitachi</c:v>
                </c:pt>
                <c:pt idx="3">
                  <c:v>Schneider Electric</c:v>
                </c:pt>
                <c:pt idx="4">
                  <c:v>Shanghai Solar Tech</c:v>
                </c:pt>
                <c:pt idx="5">
                  <c:v>Siemens India</c:v>
                </c:pt>
              </c:strCache>
            </c:strRef>
          </c:cat>
          <c:val>
            <c:numRef>
              <c:f>'Pivot 2'!$B$5:$B$11</c:f>
              <c:numCache>
                <c:formatCode>0.00%</c:formatCode>
                <c:ptCount val="6"/>
                <c:pt idx="0">
                  <c:v>5.281557464836955E-2</c:v>
                </c:pt>
                <c:pt idx="1">
                  <c:v>3.0768235500711449E-2</c:v>
                </c:pt>
                <c:pt idx="2">
                  <c:v>0.10315760193961224</c:v>
                </c:pt>
                <c:pt idx="3">
                  <c:v>0.10266199763551338</c:v>
                </c:pt>
                <c:pt idx="4">
                  <c:v>3.47991515429757E-2</c:v>
                </c:pt>
                <c:pt idx="5">
                  <c:v>7.1548899170017527E-2</c:v>
                </c:pt>
              </c:numCache>
            </c:numRef>
          </c:val>
          <c:extLst>
            <c:ext xmlns:c16="http://schemas.microsoft.com/office/drawing/2014/chart" uri="{C3380CC4-5D6E-409C-BE32-E72D297353CC}">
              <c16:uniqueId val="{0000000C-E422-45D0-B117-CCA724269FDE}"/>
            </c:ext>
          </c:extLst>
        </c:ser>
        <c:ser>
          <c:idx val="1"/>
          <c:order val="1"/>
          <c:tx>
            <c:strRef>
              <c:f>'Pivot 2'!$C$3:$C$4</c:f>
              <c:strCache>
                <c:ptCount val="1"/>
                <c:pt idx="0">
                  <c:v>Energy</c:v>
                </c:pt>
              </c:strCache>
            </c:strRef>
          </c:tx>
          <c:dPt>
            <c:idx val="0"/>
            <c:bubble3D val="0"/>
            <c:spPr>
              <a:solidFill>
                <a:schemeClr val="accent1"/>
              </a:solidFill>
              <a:ln>
                <a:noFill/>
              </a:ln>
              <a:effectLst/>
            </c:spPr>
            <c:extLst>
              <c:ext xmlns:c16="http://schemas.microsoft.com/office/drawing/2014/chart" uri="{C3380CC4-5D6E-409C-BE32-E72D297353CC}">
                <c16:uniqueId val="{0000000D-8147-40C0-BD1E-42B939CAD096}"/>
              </c:ext>
            </c:extLst>
          </c:dPt>
          <c:dPt>
            <c:idx val="1"/>
            <c:bubble3D val="0"/>
            <c:spPr>
              <a:solidFill>
                <a:schemeClr val="accent2"/>
              </a:solidFill>
              <a:ln>
                <a:noFill/>
              </a:ln>
              <a:effectLst/>
            </c:spPr>
            <c:extLst>
              <c:ext xmlns:c16="http://schemas.microsoft.com/office/drawing/2014/chart" uri="{C3380CC4-5D6E-409C-BE32-E72D297353CC}">
                <c16:uniqueId val="{0000000F-8147-40C0-BD1E-42B939CAD096}"/>
              </c:ext>
            </c:extLst>
          </c:dPt>
          <c:dPt>
            <c:idx val="2"/>
            <c:bubble3D val="0"/>
            <c:spPr>
              <a:solidFill>
                <a:schemeClr val="accent3"/>
              </a:solidFill>
              <a:ln>
                <a:noFill/>
              </a:ln>
              <a:effectLst/>
            </c:spPr>
            <c:extLst>
              <c:ext xmlns:c16="http://schemas.microsoft.com/office/drawing/2014/chart" uri="{C3380CC4-5D6E-409C-BE32-E72D297353CC}">
                <c16:uniqueId val="{00000011-8147-40C0-BD1E-42B939CAD096}"/>
              </c:ext>
            </c:extLst>
          </c:dPt>
          <c:dPt>
            <c:idx val="3"/>
            <c:bubble3D val="0"/>
            <c:spPr>
              <a:solidFill>
                <a:schemeClr val="accent4"/>
              </a:solidFill>
              <a:ln>
                <a:noFill/>
              </a:ln>
              <a:effectLst/>
            </c:spPr>
            <c:extLst>
              <c:ext xmlns:c16="http://schemas.microsoft.com/office/drawing/2014/chart" uri="{C3380CC4-5D6E-409C-BE32-E72D297353CC}">
                <c16:uniqueId val="{00000013-8147-40C0-BD1E-42B939CAD096}"/>
              </c:ext>
            </c:extLst>
          </c:dPt>
          <c:dPt>
            <c:idx val="4"/>
            <c:bubble3D val="0"/>
            <c:spPr>
              <a:solidFill>
                <a:schemeClr val="accent5"/>
              </a:solidFill>
              <a:ln>
                <a:noFill/>
              </a:ln>
              <a:effectLst/>
            </c:spPr>
            <c:extLst>
              <c:ext xmlns:c16="http://schemas.microsoft.com/office/drawing/2014/chart" uri="{C3380CC4-5D6E-409C-BE32-E72D297353CC}">
                <c16:uniqueId val="{00000015-8147-40C0-BD1E-42B939CAD096}"/>
              </c:ext>
            </c:extLst>
          </c:dPt>
          <c:dPt>
            <c:idx val="5"/>
            <c:bubble3D val="0"/>
            <c:spPr>
              <a:solidFill>
                <a:schemeClr val="accent6"/>
              </a:solidFill>
              <a:ln>
                <a:noFill/>
              </a:ln>
              <a:effectLst/>
            </c:spPr>
            <c:extLst>
              <c:ext xmlns:c16="http://schemas.microsoft.com/office/drawing/2014/chart" uri="{C3380CC4-5D6E-409C-BE32-E72D297353CC}">
                <c16:uniqueId val="{00000017-8147-40C0-BD1E-42B939CAD09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2'!$A$5:$A$11</c:f>
              <c:strCache>
                <c:ptCount val="6"/>
                <c:pt idx="0">
                  <c:v>BHP Supplies</c:v>
                </c:pt>
                <c:pt idx="1">
                  <c:v>DP World Industrial</c:v>
                </c:pt>
                <c:pt idx="2">
                  <c:v>Hitachi</c:v>
                </c:pt>
                <c:pt idx="3">
                  <c:v>Schneider Electric</c:v>
                </c:pt>
                <c:pt idx="4">
                  <c:v>Shanghai Solar Tech</c:v>
                </c:pt>
                <c:pt idx="5">
                  <c:v>Siemens India</c:v>
                </c:pt>
              </c:strCache>
            </c:strRef>
          </c:cat>
          <c:val>
            <c:numRef>
              <c:f>'Pivot 2'!$C$5:$C$11</c:f>
              <c:numCache>
                <c:formatCode>0.00%</c:formatCode>
                <c:ptCount val="6"/>
                <c:pt idx="0">
                  <c:v>1.4784437208696639E-2</c:v>
                </c:pt>
                <c:pt idx="1">
                  <c:v>2.5768507656870755E-2</c:v>
                </c:pt>
                <c:pt idx="2">
                  <c:v>4.4555442518818156E-2</c:v>
                </c:pt>
                <c:pt idx="3">
                  <c:v>7.5479881881996436E-3</c:v>
                </c:pt>
                <c:pt idx="4">
                  <c:v>7.3926775747092888E-2</c:v>
                </c:pt>
                <c:pt idx="5">
                  <c:v>1.3495931005718052E-2</c:v>
                </c:pt>
              </c:numCache>
            </c:numRef>
          </c:val>
          <c:extLst>
            <c:ext xmlns:c16="http://schemas.microsoft.com/office/drawing/2014/chart" uri="{C3380CC4-5D6E-409C-BE32-E72D297353CC}">
              <c16:uniqueId val="{0000001D-8793-402C-93A9-4A30FAE73385}"/>
            </c:ext>
          </c:extLst>
        </c:ser>
        <c:ser>
          <c:idx val="2"/>
          <c:order val="2"/>
          <c:tx>
            <c:strRef>
              <c:f>'Pivot 2'!$D$3:$D$4</c:f>
              <c:strCache>
                <c:ptCount val="1"/>
                <c:pt idx="0">
                  <c:v>Logistics</c:v>
                </c:pt>
              </c:strCache>
            </c:strRef>
          </c:tx>
          <c:dPt>
            <c:idx val="0"/>
            <c:bubble3D val="0"/>
            <c:spPr>
              <a:solidFill>
                <a:schemeClr val="accent1"/>
              </a:solidFill>
              <a:ln>
                <a:noFill/>
              </a:ln>
              <a:effectLst/>
            </c:spPr>
            <c:extLst>
              <c:ext xmlns:c16="http://schemas.microsoft.com/office/drawing/2014/chart" uri="{C3380CC4-5D6E-409C-BE32-E72D297353CC}">
                <c16:uniqueId val="{00000019-8147-40C0-BD1E-42B939CAD096}"/>
              </c:ext>
            </c:extLst>
          </c:dPt>
          <c:dPt>
            <c:idx val="1"/>
            <c:bubble3D val="0"/>
            <c:spPr>
              <a:solidFill>
                <a:schemeClr val="accent2"/>
              </a:solidFill>
              <a:ln>
                <a:noFill/>
              </a:ln>
              <a:effectLst/>
            </c:spPr>
            <c:extLst>
              <c:ext xmlns:c16="http://schemas.microsoft.com/office/drawing/2014/chart" uri="{C3380CC4-5D6E-409C-BE32-E72D297353CC}">
                <c16:uniqueId val="{0000001B-8147-40C0-BD1E-42B939CAD096}"/>
              </c:ext>
            </c:extLst>
          </c:dPt>
          <c:dPt>
            <c:idx val="2"/>
            <c:bubble3D val="0"/>
            <c:spPr>
              <a:solidFill>
                <a:schemeClr val="accent3"/>
              </a:solidFill>
              <a:ln>
                <a:noFill/>
              </a:ln>
              <a:effectLst/>
            </c:spPr>
            <c:extLst>
              <c:ext xmlns:c16="http://schemas.microsoft.com/office/drawing/2014/chart" uri="{C3380CC4-5D6E-409C-BE32-E72D297353CC}">
                <c16:uniqueId val="{0000001D-8147-40C0-BD1E-42B939CAD096}"/>
              </c:ext>
            </c:extLst>
          </c:dPt>
          <c:dPt>
            <c:idx val="3"/>
            <c:bubble3D val="0"/>
            <c:spPr>
              <a:solidFill>
                <a:schemeClr val="accent4"/>
              </a:solidFill>
              <a:ln>
                <a:noFill/>
              </a:ln>
              <a:effectLst/>
            </c:spPr>
            <c:extLst>
              <c:ext xmlns:c16="http://schemas.microsoft.com/office/drawing/2014/chart" uri="{C3380CC4-5D6E-409C-BE32-E72D297353CC}">
                <c16:uniqueId val="{0000001F-8147-40C0-BD1E-42B939CAD096}"/>
              </c:ext>
            </c:extLst>
          </c:dPt>
          <c:dPt>
            <c:idx val="4"/>
            <c:bubble3D val="0"/>
            <c:spPr>
              <a:solidFill>
                <a:schemeClr val="accent5"/>
              </a:solidFill>
              <a:ln>
                <a:noFill/>
              </a:ln>
              <a:effectLst/>
            </c:spPr>
            <c:extLst>
              <c:ext xmlns:c16="http://schemas.microsoft.com/office/drawing/2014/chart" uri="{C3380CC4-5D6E-409C-BE32-E72D297353CC}">
                <c16:uniqueId val="{00000021-8147-40C0-BD1E-42B939CAD096}"/>
              </c:ext>
            </c:extLst>
          </c:dPt>
          <c:dPt>
            <c:idx val="5"/>
            <c:bubble3D val="0"/>
            <c:spPr>
              <a:solidFill>
                <a:schemeClr val="accent6"/>
              </a:solidFill>
              <a:ln>
                <a:noFill/>
              </a:ln>
              <a:effectLst/>
            </c:spPr>
            <c:extLst>
              <c:ext xmlns:c16="http://schemas.microsoft.com/office/drawing/2014/chart" uri="{C3380CC4-5D6E-409C-BE32-E72D297353CC}">
                <c16:uniqueId val="{00000023-8147-40C0-BD1E-42B939CAD09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2'!$A$5:$A$11</c:f>
              <c:strCache>
                <c:ptCount val="6"/>
                <c:pt idx="0">
                  <c:v>BHP Supplies</c:v>
                </c:pt>
                <c:pt idx="1">
                  <c:v>DP World Industrial</c:v>
                </c:pt>
                <c:pt idx="2">
                  <c:v>Hitachi</c:v>
                </c:pt>
                <c:pt idx="3">
                  <c:v>Schneider Electric</c:v>
                </c:pt>
                <c:pt idx="4">
                  <c:v>Shanghai Solar Tech</c:v>
                </c:pt>
                <c:pt idx="5">
                  <c:v>Siemens India</c:v>
                </c:pt>
              </c:strCache>
            </c:strRef>
          </c:cat>
          <c:val>
            <c:numRef>
              <c:f>'Pivot 2'!$D$5:$D$11</c:f>
              <c:numCache>
                <c:formatCode>0.00%</c:formatCode>
                <c:ptCount val="6"/>
                <c:pt idx="0">
                  <c:v>6.5797941135844154E-2</c:v>
                </c:pt>
                <c:pt idx="1">
                  <c:v>1.7732650634729639E-2</c:v>
                </c:pt>
                <c:pt idx="2">
                  <c:v>5.8740919279549941E-2</c:v>
                </c:pt>
                <c:pt idx="3">
                  <c:v>3.9311220412076998E-2</c:v>
                </c:pt>
                <c:pt idx="4">
                  <c:v>2.9892114259275605E-2</c:v>
                </c:pt>
                <c:pt idx="5">
                  <c:v>2.7800426561154726E-2</c:v>
                </c:pt>
              </c:numCache>
            </c:numRef>
          </c:val>
          <c:extLst>
            <c:ext xmlns:c16="http://schemas.microsoft.com/office/drawing/2014/chart" uri="{C3380CC4-5D6E-409C-BE32-E72D297353CC}">
              <c16:uniqueId val="{0000001E-8793-402C-93A9-4A30FAE73385}"/>
            </c:ext>
          </c:extLst>
        </c:ser>
        <c:ser>
          <c:idx val="3"/>
          <c:order val="3"/>
          <c:tx>
            <c:strRef>
              <c:f>'Pivot 2'!$E$3:$E$4</c:f>
              <c:strCache>
                <c:ptCount val="1"/>
                <c:pt idx="0">
                  <c:v>Mining</c:v>
                </c:pt>
              </c:strCache>
            </c:strRef>
          </c:tx>
          <c:dPt>
            <c:idx val="0"/>
            <c:bubble3D val="0"/>
            <c:spPr>
              <a:solidFill>
                <a:schemeClr val="accent1"/>
              </a:solidFill>
              <a:ln>
                <a:noFill/>
              </a:ln>
              <a:effectLst/>
            </c:spPr>
            <c:extLst>
              <c:ext xmlns:c16="http://schemas.microsoft.com/office/drawing/2014/chart" uri="{C3380CC4-5D6E-409C-BE32-E72D297353CC}">
                <c16:uniqueId val="{00000025-8147-40C0-BD1E-42B939CAD096}"/>
              </c:ext>
            </c:extLst>
          </c:dPt>
          <c:dPt>
            <c:idx val="1"/>
            <c:bubble3D val="0"/>
            <c:spPr>
              <a:solidFill>
                <a:schemeClr val="accent2"/>
              </a:solidFill>
              <a:ln>
                <a:noFill/>
              </a:ln>
              <a:effectLst/>
            </c:spPr>
            <c:extLst>
              <c:ext xmlns:c16="http://schemas.microsoft.com/office/drawing/2014/chart" uri="{C3380CC4-5D6E-409C-BE32-E72D297353CC}">
                <c16:uniqueId val="{00000027-8147-40C0-BD1E-42B939CAD096}"/>
              </c:ext>
            </c:extLst>
          </c:dPt>
          <c:dPt>
            <c:idx val="2"/>
            <c:bubble3D val="0"/>
            <c:spPr>
              <a:solidFill>
                <a:schemeClr val="accent3"/>
              </a:solidFill>
              <a:ln>
                <a:noFill/>
              </a:ln>
              <a:effectLst/>
            </c:spPr>
            <c:extLst>
              <c:ext xmlns:c16="http://schemas.microsoft.com/office/drawing/2014/chart" uri="{C3380CC4-5D6E-409C-BE32-E72D297353CC}">
                <c16:uniqueId val="{00000029-8147-40C0-BD1E-42B939CAD096}"/>
              </c:ext>
            </c:extLst>
          </c:dPt>
          <c:dPt>
            <c:idx val="3"/>
            <c:bubble3D val="0"/>
            <c:spPr>
              <a:solidFill>
                <a:schemeClr val="accent4"/>
              </a:solidFill>
              <a:ln>
                <a:noFill/>
              </a:ln>
              <a:effectLst/>
            </c:spPr>
            <c:extLst>
              <c:ext xmlns:c16="http://schemas.microsoft.com/office/drawing/2014/chart" uri="{C3380CC4-5D6E-409C-BE32-E72D297353CC}">
                <c16:uniqueId val="{0000002B-8147-40C0-BD1E-42B939CAD096}"/>
              </c:ext>
            </c:extLst>
          </c:dPt>
          <c:dPt>
            <c:idx val="4"/>
            <c:bubble3D val="0"/>
            <c:spPr>
              <a:solidFill>
                <a:schemeClr val="accent5"/>
              </a:solidFill>
              <a:ln>
                <a:noFill/>
              </a:ln>
              <a:effectLst/>
            </c:spPr>
            <c:extLst>
              <c:ext xmlns:c16="http://schemas.microsoft.com/office/drawing/2014/chart" uri="{C3380CC4-5D6E-409C-BE32-E72D297353CC}">
                <c16:uniqueId val="{0000002D-8147-40C0-BD1E-42B939CAD096}"/>
              </c:ext>
            </c:extLst>
          </c:dPt>
          <c:dPt>
            <c:idx val="5"/>
            <c:bubble3D val="0"/>
            <c:spPr>
              <a:solidFill>
                <a:schemeClr val="accent6"/>
              </a:solidFill>
              <a:ln>
                <a:noFill/>
              </a:ln>
              <a:effectLst/>
            </c:spPr>
            <c:extLst>
              <c:ext xmlns:c16="http://schemas.microsoft.com/office/drawing/2014/chart" uri="{C3380CC4-5D6E-409C-BE32-E72D297353CC}">
                <c16:uniqueId val="{0000002F-8147-40C0-BD1E-42B939CAD09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2'!$A$5:$A$11</c:f>
              <c:strCache>
                <c:ptCount val="6"/>
                <c:pt idx="0">
                  <c:v>BHP Supplies</c:v>
                </c:pt>
                <c:pt idx="1">
                  <c:v>DP World Industrial</c:v>
                </c:pt>
                <c:pt idx="2">
                  <c:v>Hitachi</c:v>
                </c:pt>
                <c:pt idx="3">
                  <c:v>Schneider Electric</c:v>
                </c:pt>
                <c:pt idx="4">
                  <c:v>Shanghai Solar Tech</c:v>
                </c:pt>
                <c:pt idx="5">
                  <c:v>Siemens India</c:v>
                </c:pt>
              </c:strCache>
            </c:strRef>
          </c:cat>
          <c:val>
            <c:numRef>
              <c:f>'Pivot 2'!$E$5:$E$11</c:f>
              <c:numCache>
                <c:formatCode>0.00%</c:formatCode>
                <c:ptCount val="6"/>
                <c:pt idx="0">
                  <c:v>5.5690563739815117E-2</c:v>
                </c:pt>
                <c:pt idx="1">
                  <c:v>2.7367083261913106E-2</c:v>
                </c:pt>
                <c:pt idx="2">
                  <c:v>1.480245116601283E-2</c:v>
                </c:pt>
                <c:pt idx="3">
                  <c:v>2.0550514726249809E-2</c:v>
                </c:pt>
                <c:pt idx="4">
                  <c:v>2.4710064100226539E-2</c:v>
                </c:pt>
                <c:pt idx="5">
                  <c:v>4.1773507960555477E-2</c:v>
                </c:pt>
              </c:numCache>
            </c:numRef>
          </c:val>
          <c:extLst>
            <c:ext xmlns:c16="http://schemas.microsoft.com/office/drawing/2014/chart" uri="{C3380CC4-5D6E-409C-BE32-E72D297353CC}">
              <c16:uniqueId val="{0000001F-8793-402C-93A9-4A30FAE7338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1600221025003457"/>
          <c:y val="0.30896631531282231"/>
          <c:w val="0.1867841674589438"/>
          <c:h val="0.493206544070170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[Adani_Procurement_Spend_Dashboard_Dataset.xlsx]Pivot4!PivotTable12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a:t>
            </a:r>
            <a:r>
              <a:rPr lang="en-IN" baseline="0"/>
              <a:t> Order  Status</a:t>
            </a:r>
            <a:endParaRPr lang="en-IN"/>
          </a:p>
        </c:rich>
      </c:tx>
      <c:layout>
        <c:manualLayout>
          <c:xMode val="edge"/>
          <c:yMode val="edge"/>
          <c:x val="0.30798747640821628"/>
          <c:y val="3.86297866612827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C00000">
                  <a:tint val="66000"/>
                  <a:satMod val="160000"/>
                </a:srgbClr>
              </a:gs>
              <a:gs pos="50000">
                <a:srgbClr val="C00000">
                  <a:tint val="44500"/>
                  <a:satMod val="160000"/>
                </a:srgbClr>
              </a:gs>
              <a:gs pos="100000">
                <a:srgbClr val="C00000">
                  <a:tint val="23500"/>
                  <a:satMod val="160000"/>
                </a:srgb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rgbClr val="C00000">
                  <a:tint val="66000"/>
                  <a:satMod val="160000"/>
                </a:srgbClr>
              </a:gs>
              <a:gs pos="50000">
                <a:srgbClr val="C00000">
                  <a:tint val="44500"/>
                  <a:satMod val="160000"/>
                </a:srgbClr>
              </a:gs>
              <a:gs pos="100000">
                <a:srgbClr val="C00000">
                  <a:tint val="23500"/>
                  <a:satMod val="160000"/>
                </a:srgb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rgbClr val="C00000">
                  <a:tint val="66000"/>
                  <a:satMod val="160000"/>
                </a:srgbClr>
              </a:gs>
              <a:gs pos="50000">
                <a:srgbClr val="C00000">
                  <a:tint val="44500"/>
                  <a:satMod val="160000"/>
                </a:srgbClr>
              </a:gs>
              <a:gs pos="100000">
                <a:srgbClr val="C00000">
                  <a:tint val="23500"/>
                  <a:satMod val="160000"/>
                </a:srgb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87270341207348"/>
          <c:y val="0.17388451443569553"/>
          <c:w val="0.69338648293963256"/>
          <c:h val="0.6076742490522018"/>
        </c:manualLayout>
      </c:layout>
      <c:barChart>
        <c:barDir val="col"/>
        <c:grouping val="percentStacked"/>
        <c:varyColors val="0"/>
        <c:ser>
          <c:idx val="0"/>
          <c:order val="0"/>
          <c:tx>
            <c:strRef>
              <c:f>Pivot4!$B$3:$B$4</c:f>
              <c:strCache>
                <c:ptCount val="1"/>
                <c:pt idx="0">
                  <c:v>Closed</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Pivot4!$A$5:$A$11</c:f>
              <c:strCache>
                <c:ptCount val="6"/>
                <c:pt idx="0">
                  <c:v>Airports</c:v>
                </c:pt>
                <c:pt idx="1">
                  <c:v>Data Centers</c:v>
                </c:pt>
                <c:pt idx="2">
                  <c:v>Energy</c:v>
                </c:pt>
                <c:pt idx="3">
                  <c:v>Logistics</c:v>
                </c:pt>
                <c:pt idx="4">
                  <c:v>Mining</c:v>
                </c:pt>
                <c:pt idx="5">
                  <c:v>Solar</c:v>
                </c:pt>
              </c:strCache>
            </c:strRef>
          </c:cat>
          <c:val>
            <c:numRef>
              <c:f>Pivot4!$B$5:$B$11</c:f>
              <c:numCache>
                <c:formatCode>0.00%</c:formatCode>
                <c:ptCount val="6"/>
                <c:pt idx="0">
                  <c:v>0.37758405459663696</c:v>
                </c:pt>
                <c:pt idx="1">
                  <c:v>0.33954387682612475</c:v>
                </c:pt>
                <c:pt idx="2">
                  <c:v>0.37338282640937803</c:v>
                </c:pt>
                <c:pt idx="3">
                  <c:v>0.21165522218097138</c:v>
                </c:pt>
                <c:pt idx="4">
                  <c:v>0.17266225102632909</c:v>
                </c:pt>
                <c:pt idx="5">
                  <c:v>0.21506086176544209</c:v>
                </c:pt>
              </c:numCache>
            </c:numRef>
          </c:val>
          <c:extLst>
            <c:ext xmlns:c16="http://schemas.microsoft.com/office/drawing/2014/chart" uri="{C3380CC4-5D6E-409C-BE32-E72D297353CC}">
              <c16:uniqueId val="{00000000-154A-492A-8C3F-DFF0F19EB679}"/>
            </c:ext>
          </c:extLst>
        </c:ser>
        <c:ser>
          <c:idx val="1"/>
          <c:order val="1"/>
          <c:tx>
            <c:strRef>
              <c:f>Pivot4!$C$3:$C$4</c:f>
              <c:strCache>
                <c:ptCount val="1"/>
                <c:pt idx="0">
                  <c:v>In Transit</c:v>
                </c:pt>
              </c:strCache>
            </c:strRef>
          </c:tx>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54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Pivot4!$A$5:$A$11</c:f>
              <c:strCache>
                <c:ptCount val="6"/>
                <c:pt idx="0">
                  <c:v>Airports</c:v>
                </c:pt>
                <c:pt idx="1">
                  <c:v>Data Centers</c:v>
                </c:pt>
                <c:pt idx="2">
                  <c:v>Energy</c:v>
                </c:pt>
                <c:pt idx="3">
                  <c:v>Logistics</c:v>
                </c:pt>
                <c:pt idx="4">
                  <c:v>Mining</c:v>
                </c:pt>
                <c:pt idx="5">
                  <c:v>Solar</c:v>
                </c:pt>
              </c:strCache>
            </c:strRef>
          </c:cat>
          <c:val>
            <c:numRef>
              <c:f>Pivot4!$C$5:$C$11</c:f>
              <c:numCache>
                <c:formatCode>0.00%</c:formatCode>
                <c:ptCount val="6"/>
                <c:pt idx="0">
                  <c:v>0.28387522362308776</c:v>
                </c:pt>
                <c:pt idx="1">
                  <c:v>0.17697441276449449</c:v>
                </c:pt>
                <c:pt idx="2">
                  <c:v>0.21056450676008837</c:v>
                </c:pt>
                <c:pt idx="3">
                  <c:v>0.36565972930944518</c:v>
                </c:pt>
                <c:pt idx="4">
                  <c:v>0.45588342028468315</c:v>
                </c:pt>
                <c:pt idx="5">
                  <c:v>0.47415667411405255</c:v>
                </c:pt>
              </c:numCache>
            </c:numRef>
          </c:val>
          <c:extLst>
            <c:ext xmlns:c16="http://schemas.microsoft.com/office/drawing/2014/chart" uri="{C3380CC4-5D6E-409C-BE32-E72D297353CC}">
              <c16:uniqueId val="{00000001-154A-492A-8C3F-DFF0F19EB679}"/>
            </c:ext>
          </c:extLst>
        </c:ser>
        <c:ser>
          <c:idx val="2"/>
          <c:order val="2"/>
          <c:tx>
            <c:strRef>
              <c:f>Pivot4!$D$3:$D$4</c:f>
              <c:strCache>
                <c:ptCount val="1"/>
                <c:pt idx="0">
                  <c:v>Open</c:v>
                </c:pt>
              </c:strCache>
            </c:strRef>
          </c:tx>
          <c:spPr>
            <a:gradFill flip="none" rotWithShape="1">
              <a:gsLst>
                <a:gs pos="0">
                  <a:srgbClr val="C00000">
                    <a:tint val="66000"/>
                    <a:satMod val="160000"/>
                  </a:srgbClr>
                </a:gs>
                <a:gs pos="50000">
                  <a:srgbClr val="C00000">
                    <a:tint val="44500"/>
                    <a:satMod val="160000"/>
                  </a:srgbClr>
                </a:gs>
                <a:gs pos="100000">
                  <a:srgbClr val="C00000">
                    <a:tint val="23500"/>
                    <a:satMod val="160000"/>
                  </a:srgbClr>
                </a:gs>
              </a:gsLst>
              <a:lin ang="54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Pivot4!$A$5:$A$11</c:f>
              <c:strCache>
                <c:ptCount val="6"/>
                <c:pt idx="0">
                  <c:v>Airports</c:v>
                </c:pt>
                <c:pt idx="1">
                  <c:v>Data Centers</c:v>
                </c:pt>
                <c:pt idx="2">
                  <c:v>Energy</c:v>
                </c:pt>
                <c:pt idx="3">
                  <c:v>Logistics</c:v>
                </c:pt>
                <c:pt idx="4">
                  <c:v>Mining</c:v>
                </c:pt>
                <c:pt idx="5">
                  <c:v>Solar</c:v>
                </c:pt>
              </c:strCache>
            </c:strRef>
          </c:cat>
          <c:val>
            <c:numRef>
              <c:f>Pivot4!$D$5:$D$11</c:f>
              <c:numCache>
                <c:formatCode>0.00%</c:formatCode>
                <c:ptCount val="6"/>
                <c:pt idx="0">
                  <c:v>0.33854072178027533</c:v>
                </c:pt>
                <c:pt idx="1">
                  <c:v>0.48348171040938082</c:v>
                </c:pt>
                <c:pt idx="2">
                  <c:v>0.41605266683053349</c:v>
                </c:pt>
                <c:pt idx="3">
                  <c:v>0.42268504850958344</c:v>
                </c:pt>
                <c:pt idx="4">
                  <c:v>0.37145432868898776</c:v>
                </c:pt>
                <c:pt idx="5">
                  <c:v>0.31078246412050542</c:v>
                </c:pt>
              </c:numCache>
            </c:numRef>
          </c:val>
          <c:extLst>
            <c:ext xmlns:c16="http://schemas.microsoft.com/office/drawing/2014/chart" uri="{C3380CC4-5D6E-409C-BE32-E72D297353CC}">
              <c16:uniqueId val="{00000002-154A-492A-8C3F-DFF0F19EB679}"/>
            </c:ext>
          </c:extLst>
        </c:ser>
        <c:dLbls>
          <c:dLblPos val="ctr"/>
          <c:showLegendKey val="0"/>
          <c:showVal val="1"/>
          <c:showCatName val="0"/>
          <c:showSerName val="0"/>
          <c:showPercent val="0"/>
          <c:showBubbleSize val="0"/>
        </c:dLbls>
        <c:gapWidth val="219"/>
        <c:overlap val="100"/>
        <c:axId val="1488585871"/>
        <c:axId val="1488587791"/>
      </c:barChart>
      <c:catAx>
        <c:axId val="148858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587791"/>
        <c:crosses val="autoZero"/>
        <c:auto val="1"/>
        <c:lblAlgn val="ctr"/>
        <c:lblOffset val="100"/>
        <c:noMultiLvlLbl val="0"/>
      </c:catAx>
      <c:valAx>
        <c:axId val="1488587791"/>
        <c:scaling>
          <c:orientation val="minMax"/>
        </c:scaling>
        <c:delete val="1"/>
        <c:axPos val="l"/>
        <c:numFmt formatCode="0%" sourceLinked="1"/>
        <c:majorTickMark val="none"/>
        <c:minorTickMark val="none"/>
        <c:tickLblPos val="nextTo"/>
        <c:crossAx val="1488585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[Adani_Procurement_Spend_Dashboard_Dataset.xlsx]Suppliers!PivotTable9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Quality</a:t>
            </a:r>
            <a:r>
              <a:rPr lang="en-US" baseline="0"/>
              <a:t> Score of supplier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Suppliers!$C$13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Suppliers!$B$14:$B$20</c:f>
              <c:strCache>
                <c:ptCount val="6"/>
                <c:pt idx="0">
                  <c:v>BHP Supplies</c:v>
                </c:pt>
                <c:pt idx="1">
                  <c:v>DP World Industrial</c:v>
                </c:pt>
                <c:pt idx="2">
                  <c:v>Hitachi</c:v>
                </c:pt>
                <c:pt idx="3">
                  <c:v>Schneider Electric</c:v>
                </c:pt>
                <c:pt idx="4">
                  <c:v>Shanghai Solar Tech</c:v>
                </c:pt>
                <c:pt idx="5">
                  <c:v>Siemens India</c:v>
                </c:pt>
              </c:strCache>
            </c:strRef>
          </c:cat>
          <c:val>
            <c:numRef>
              <c:f>Suppliers!$C$14:$C$20</c:f>
              <c:numCache>
                <c:formatCode>General</c:formatCode>
                <c:ptCount val="6"/>
                <c:pt idx="0">
                  <c:v>4.62</c:v>
                </c:pt>
                <c:pt idx="1">
                  <c:v>4.57</c:v>
                </c:pt>
                <c:pt idx="2">
                  <c:v>3.95</c:v>
                </c:pt>
                <c:pt idx="3">
                  <c:v>3.54</c:v>
                </c:pt>
                <c:pt idx="4">
                  <c:v>4</c:v>
                </c:pt>
                <c:pt idx="5">
                  <c:v>4.8499999999999996</c:v>
                </c:pt>
              </c:numCache>
            </c:numRef>
          </c:val>
          <c:extLst>
            <c:ext xmlns:c16="http://schemas.microsoft.com/office/drawing/2014/chart" uri="{C3380CC4-5D6E-409C-BE32-E72D297353CC}">
              <c16:uniqueId val="{00000000-17FF-4BC0-A005-8DC205A564D7}"/>
            </c:ext>
          </c:extLst>
        </c:ser>
        <c:dLbls>
          <c:dLblPos val="outEnd"/>
          <c:showLegendKey val="0"/>
          <c:showVal val="1"/>
          <c:showCatName val="0"/>
          <c:showSerName val="0"/>
          <c:showPercent val="0"/>
          <c:showBubbleSize val="0"/>
        </c:dLbls>
        <c:gapWidth val="219"/>
        <c:overlap val="-27"/>
        <c:axId val="1206169471"/>
        <c:axId val="1206158911"/>
      </c:barChart>
      <c:catAx>
        <c:axId val="120616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158911"/>
        <c:crosses val="autoZero"/>
        <c:auto val="1"/>
        <c:lblAlgn val="ctr"/>
        <c:lblOffset val="100"/>
        <c:noMultiLvlLbl val="0"/>
      </c:catAx>
      <c:valAx>
        <c:axId val="1206158911"/>
        <c:scaling>
          <c:orientation val="minMax"/>
        </c:scaling>
        <c:delete val="1"/>
        <c:axPos val="l"/>
        <c:numFmt formatCode="General" sourceLinked="1"/>
        <c:majorTickMark val="none"/>
        <c:minorTickMark val="none"/>
        <c:tickLblPos val="nextTo"/>
        <c:crossAx val="1206169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[Adani_Procurement_Spend_Dashboard_Dataset.xlsx]Pivot1!PivotTable3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Country-wise</a:t>
            </a:r>
            <a:r>
              <a:rPr lang="en-IN" baseline="0"/>
              <a:t> total spend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Pivot1!$B$16</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Pivot1!$A$17:$A$23</c:f>
              <c:strCache>
                <c:ptCount val="6"/>
                <c:pt idx="0">
                  <c:v>Australia</c:v>
                </c:pt>
                <c:pt idx="1">
                  <c:v>China</c:v>
                </c:pt>
                <c:pt idx="2">
                  <c:v>France</c:v>
                </c:pt>
                <c:pt idx="3">
                  <c:v>India</c:v>
                </c:pt>
                <c:pt idx="4">
                  <c:v>Japan</c:v>
                </c:pt>
                <c:pt idx="5">
                  <c:v>UAE</c:v>
                </c:pt>
              </c:strCache>
            </c:strRef>
          </c:cat>
          <c:val>
            <c:numRef>
              <c:f>Pivot1!$B$17:$B$23</c:f>
              <c:numCache>
                <c:formatCode>0</c:formatCode>
                <c:ptCount val="6"/>
                <c:pt idx="0">
                  <c:v>765292792.26000011</c:v>
                </c:pt>
                <c:pt idx="1">
                  <c:v>831501622.00999999</c:v>
                </c:pt>
                <c:pt idx="2">
                  <c:v>730145537.94000006</c:v>
                </c:pt>
                <c:pt idx="3">
                  <c:v>1006107478.21</c:v>
                </c:pt>
                <c:pt idx="4">
                  <c:v>866130980.98000014</c:v>
                </c:pt>
                <c:pt idx="5">
                  <c:v>477535007.00999999</c:v>
                </c:pt>
              </c:numCache>
            </c:numRef>
          </c:val>
          <c:extLst>
            <c:ext xmlns:c16="http://schemas.microsoft.com/office/drawing/2014/chart" uri="{C3380CC4-5D6E-409C-BE32-E72D297353CC}">
              <c16:uniqueId val="{00000000-CD1D-4DDB-92C0-AF78D237CD96}"/>
            </c:ext>
          </c:extLst>
        </c:ser>
        <c:dLbls>
          <c:dLblPos val="outEnd"/>
          <c:showLegendKey val="0"/>
          <c:showVal val="1"/>
          <c:showCatName val="0"/>
          <c:showSerName val="0"/>
          <c:showPercent val="0"/>
          <c:showBubbleSize val="0"/>
        </c:dLbls>
        <c:gapWidth val="219"/>
        <c:overlap val="-27"/>
        <c:axId val="923072143"/>
        <c:axId val="923071183"/>
      </c:barChart>
      <c:catAx>
        <c:axId val="923072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071183"/>
        <c:crosses val="autoZero"/>
        <c:auto val="1"/>
        <c:lblAlgn val="ctr"/>
        <c:lblOffset val="100"/>
        <c:noMultiLvlLbl val="0"/>
      </c:catAx>
      <c:valAx>
        <c:axId val="923071183"/>
        <c:scaling>
          <c:orientation val="minMax"/>
        </c:scaling>
        <c:delete val="1"/>
        <c:axPos val="l"/>
        <c:numFmt formatCode="0" sourceLinked="1"/>
        <c:majorTickMark val="none"/>
        <c:minorTickMark val="none"/>
        <c:tickLblPos val="nextTo"/>
        <c:crossAx val="923072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[Adani_Procurement_Spend_Dashboard_Dataset.xlsx]Pivot1!PivotTable1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Spend by Business Unit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995227508672"/>
          <c:y val="0.2899579789033675"/>
          <c:w val="0.65737315982965328"/>
          <c:h val="0.42499422980687729"/>
        </c:manualLayout>
      </c:layout>
      <c:lineChart>
        <c:grouping val="standard"/>
        <c:varyColors val="0"/>
        <c:ser>
          <c:idx val="0"/>
          <c:order val="0"/>
          <c:tx>
            <c:strRef>
              <c:f>Pivot1!$B$3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Pivot1!$A$4:$A$10</c:f>
              <c:strCache>
                <c:ptCount val="6"/>
                <c:pt idx="0">
                  <c:v>Airports</c:v>
                </c:pt>
                <c:pt idx="1">
                  <c:v>Data Centers</c:v>
                </c:pt>
                <c:pt idx="2">
                  <c:v>Energy</c:v>
                </c:pt>
                <c:pt idx="3">
                  <c:v>Logistics</c:v>
                </c:pt>
                <c:pt idx="4">
                  <c:v>Mining</c:v>
                </c:pt>
                <c:pt idx="5">
                  <c:v>Solar</c:v>
                </c:pt>
              </c:strCache>
            </c:strRef>
          </c:cat>
          <c:val>
            <c:numRef>
              <c:f>Pivot1!$B$4:$B$10</c:f>
              <c:numCache>
                <c:formatCode>0</c:formatCode>
                <c:ptCount val="6"/>
                <c:pt idx="0">
                  <c:v>883362316.23000014</c:v>
                </c:pt>
                <c:pt idx="1">
                  <c:v>1227464047.5800002</c:v>
                </c:pt>
                <c:pt idx="2">
                  <c:v>558533881.42000008</c:v>
                </c:pt>
                <c:pt idx="3">
                  <c:v>742136981.32000017</c:v>
                </c:pt>
                <c:pt idx="4">
                  <c:v>573468419.76999998</c:v>
                </c:pt>
                <c:pt idx="5">
                  <c:v>691747772.09000003</c:v>
                </c:pt>
              </c:numCache>
            </c:numRef>
          </c:val>
          <c:smooth val="0"/>
          <c:extLst>
            <c:ext xmlns:c16="http://schemas.microsoft.com/office/drawing/2014/chart" uri="{C3380CC4-5D6E-409C-BE32-E72D297353CC}">
              <c16:uniqueId val="{00000000-9153-425F-9D36-3AB7B1510E95}"/>
            </c:ext>
          </c:extLst>
        </c:ser>
        <c:dLbls>
          <c:dLblPos val="t"/>
          <c:showLegendKey val="0"/>
          <c:showVal val="1"/>
          <c:showCatName val="0"/>
          <c:showSerName val="0"/>
          <c:showPercent val="0"/>
          <c:showBubbleSize val="0"/>
        </c:dLbls>
        <c:marker val="1"/>
        <c:smooth val="0"/>
        <c:axId val="1475369855"/>
        <c:axId val="1475368895"/>
      </c:lineChart>
      <c:catAx>
        <c:axId val="14753698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Business</a:t>
                </a:r>
                <a:r>
                  <a:rPr lang="en-IN" baseline="0"/>
                  <a:t> Units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368895"/>
        <c:crosses val="autoZero"/>
        <c:auto val="1"/>
        <c:lblAlgn val="ctr"/>
        <c:lblOffset val="100"/>
        <c:noMultiLvlLbl val="0"/>
      </c:catAx>
      <c:valAx>
        <c:axId val="1475368895"/>
        <c:scaling>
          <c:orientation val="minMax"/>
        </c:scaling>
        <c:delete val="1"/>
        <c:axPos val="l"/>
        <c:numFmt formatCode="0" sourceLinked="1"/>
        <c:majorTickMark val="none"/>
        <c:minorTickMark val="none"/>
        <c:tickLblPos val="nextTo"/>
        <c:crossAx val="1475369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[Adani_Procurement_Spend_Dashboard_Dataset.xlsx]Pivot1!PivotTable3</c:name>
    <c:fmtId val="1"/>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Pivot1!$B$16</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Pivot1!$A$17:$A$23</c:f>
              <c:strCache>
                <c:ptCount val="6"/>
                <c:pt idx="0">
                  <c:v>Australia</c:v>
                </c:pt>
                <c:pt idx="1">
                  <c:v>China</c:v>
                </c:pt>
                <c:pt idx="2">
                  <c:v>France</c:v>
                </c:pt>
                <c:pt idx="3">
                  <c:v>India</c:v>
                </c:pt>
                <c:pt idx="4">
                  <c:v>Japan</c:v>
                </c:pt>
                <c:pt idx="5">
                  <c:v>UAE</c:v>
                </c:pt>
              </c:strCache>
            </c:strRef>
          </c:cat>
          <c:val>
            <c:numRef>
              <c:f>Pivot1!$B$17:$B$23</c:f>
              <c:numCache>
                <c:formatCode>0</c:formatCode>
                <c:ptCount val="6"/>
                <c:pt idx="0">
                  <c:v>765292792.26000011</c:v>
                </c:pt>
                <c:pt idx="1">
                  <c:v>831501622.00999999</c:v>
                </c:pt>
                <c:pt idx="2">
                  <c:v>730145537.94000006</c:v>
                </c:pt>
                <c:pt idx="3">
                  <c:v>1006107478.21</c:v>
                </c:pt>
                <c:pt idx="4">
                  <c:v>866130980.98000014</c:v>
                </c:pt>
                <c:pt idx="5">
                  <c:v>477535007.00999999</c:v>
                </c:pt>
              </c:numCache>
            </c:numRef>
          </c:val>
          <c:extLst>
            <c:ext xmlns:c16="http://schemas.microsoft.com/office/drawing/2014/chart" uri="{C3380CC4-5D6E-409C-BE32-E72D297353CC}">
              <c16:uniqueId val="{00000000-03E1-464A-AD64-691644E3199D}"/>
            </c:ext>
          </c:extLst>
        </c:ser>
        <c:dLbls>
          <c:dLblPos val="outEnd"/>
          <c:showLegendKey val="0"/>
          <c:showVal val="1"/>
          <c:showCatName val="0"/>
          <c:showSerName val="0"/>
          <c:showPercent val="0"/>
          <c:showBubbleSize val="0"/>
        </c:dLbls>
        <c:gapWidth val="219"/>
        <c:overlap val="-27"/>
        <c:axId val="923072143"/>
        <c:axId val="923071183"/>
      </c:barChart>
      <c:catAx>
        <c:axId val="923072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071183"/>
        <c:crosses val="autoZero"/>
        <c:auto val="1"/>
        <c:lblAlgn val="ctr"/>
        <c:lblOffset val="100"/>
        <c:noMultiLvlLbl val="0"/>
      </c:catAx>
      <c:valAx>
        <c:axId val="923071183"/>
        <c:scaling>
          <c:orientation val="minMax"/>
        </c:scaling>
        <c:delete val="1"/>
        <c:axPos val="l"/>
        <c:numFmt formatCode="0" sourceLinked="1"/>
        <c:majorTickMark val="none"/>
        <c:minorTickMark val="none"/>
        <c:tickLblPos val="nextTo"/>
        <c:crossAx val="923072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[Adani_Procurement_Spend_Dashboard_Dataset.xlsx]Pivot 2!PivotTable10</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s>
    <c:plotArea>
      <c:layout/>
      <c:pieChart>
        <c:varyColors val="1"/>
        <c:ser>
          <c:idx val="0"/>
          <c:order val="0"/>
          <c:tx>
            <c:strRef>
              <c:f>'Pivot 2'!$B$3:$B$4</c:f>
              <c:strCache>
                <c:ptCount val="1"/>
                <c:pt idx="0">
                  <c:v>Data Centers</c:v>
                </c:pt>
              </c:strCache>
            </c:strRef>
          </c:tx>
          <c:dPt>
            <c:idx val="0"/>
            <c:bubble3D val="0"/>
            <c:spPr>
              <a:solidFill>
                <a:schemeClr val="accent1"/>
              </a:solidFill>
              <a:ln>
                <a:noFill/>
              </a:ln>
              <a:effectLst/>
            </c:spPr>
            <c:extLst>
              <c:ext xmlns:c16="http://schemas.microsoft.com/office/drawing/2014/chart" uri="{C3380CC4-5D6E-409C-BE32-E72D297353CC}">
                <c16:uniqueId val="{00000001-35C8-4A25-9980-17C11F816BB7}"/>
              </c:ext>
            </c:extLst>
          </c:dPt>
          <c:dPt>
            <c:idx val="1"/>
            <c:bubble3D val="0"/>
            <c:spPr>
              <a:solidFill>
                <a:schemeClr val="accent2"/>
              </a:solidFill>
              <a:ln>
                <a:noFill/>
              </a:ln>
              <a:effectLst/>
            </c:spPr>
            <c:extLst>
              <c:ext xmlns:c16="http://schemas.microsoft.com/office/drawing/2014/chart" uri="{C3380CC4-5D6E-409C-BE32-E72D297353CC}">
                <c16:uniqueId val="{00000003-35C8-4A25-9980-17C11F816BB7}"/>
              </c:ext>
            </c:extLst>
          </c:dPt>
          <c:dPt>
            <c:idx val="2"/>
            <c:bubble3D val="0"/>
            <c:spPr>
              <a:solidFill>
                <a:schemeClr val="accent3"/>
              </a:solidFill>
              <a:ln>
                <a:noFill/>
              </a:ln>
              <a:effectLst/>
            </c:spPr>
            <c:extLst>
              <c:ext xmlns:c16="http://schemas.microsoft.com/office/drawing/2014/chart" uri="{C3380CC4-5D6E-409C-BE32-E72D297353CC}">
                <c16:uniqueId val="{00000005-35C8-4A25-9980-17C11F816BB7}"/>
              </c:ext>
            </c:extLst>
          </c:dPt>
          <c:dPt>
            <c:idx val="3"/>
            <c:bubble3D val="0"/>
            <c:spPr>
              <a:solidFill>
                <a:schemeClr val="accent4"/>
              </a:solidFill>
              <a:ln>
                <a:noFill/>
              </a:ln>
              <a:effectLst/>
            </c:spPr>
            <c:extLst>
              <c:ext xmlns:c16="http://schemas.microsoft.com/office/drawing/2014/chart" uri="{C3380CC4-5D6E-409C-BE32-E72D297353CC}">
                <c16:uniqueId val="{00000007-35C8-4A25-9980-17C11F816BB7}"/>
              </c:ext>
            </c:extLst>
          </c:dPt>
          <c:dPt>
            <c:idx val="4"/>
            <c:bubble3D val="0"/>
            <c:spPr>
              <a:solidFill>
                <a:schemeClr val="accent5"/>
              </a:solidFill>
              <a:ln>
                <a:noFill/>
              </a:ln>
              <a:effectLst/>
            </c:spPr>
            <c:extLst>
              <c:ext xmlns:c16="http://schemas.microsoft.com/office/drawing/2014/chart" uri="{C3380CC4-5D6E-409C-BE32-E72D297353CC}">
                <c16:uniqueId val="{00000009-35C8-4A25-9980-17C11F816BB7}"/>
              </c:ext>
            </c:extLst>
          </c:dPt>
          <c:dPt>
            <c:idx val="5"/>
            <c:bubble3D val="0"/>
            <c:spPr>
              <a:solidFill>
                <a:schemeClr val="accent6"/>
              </a:solidFill>
              <a:ln>
                <a:noFill/>
              </a:ln>
              <a:effectLst/>
            </c:spPr>
            <c:extLst>
              <c:ext xmlns:c16="http://schemas.microsoft.com/office/drawing/2014/chart" uri="{C3380CC4-5D6E-409C-BE32-E72D297353CC}">
                <c16:uniqueId val="{0000000B-35C8-4A25-9980-17C11F816B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2'!$A$5:$A$11</c:f>
              <c:strCache>
                <c:ptCount val="6"/>
                <c:pt idx="0">
                  <c:v>BHP Supplies</c:v>
                </c:pt>
                <c:pt idx="1">
                  <c:v>DP World Industrial</c:v>
                </c:pt>
                <c:pt idx="2">
                  <c:v>Hitachi</c:v>
                </c:pt>
                <c:pt idx="3">
                  <c:v>Schneider Electric</c:v>
                </c:pt>
                <c:pt idx="4">
                  <c:v>Shanghai Solar Tech</c:v>
                </c:pt>
                <c:pt idx="5">
                  <c:v>Siemens India</c:v>
                </c:pt>
              </c:strCache>
            </c:strRef>
          </c:cat>
          <c:val>
            <c:numRef>
              <c:f>'Pivot 2'!$B$5:$B$11</c:f>
              <c:numCache>
                <c:formatCode>0.00%</c:formatCode>
                <c:ptCount val="6"/>
                <c:pt idx="0">
                  <c:v>5.281557464836955E-2</c:v>
                </c:pt>
                <c:pt idx="1">
                  <c:v>3.0768235500711449E-2</c:v>
                </c:pt>
                <c:pt idx="2">
                  <c:v>0.10315760193961224</c:v>
                </c:pt>
                <c:pt idx="3">
                  <c:v>0.10266199763551338</c:v>
                </c:pt>
                <c:pt idx="4">
                  <c:v>3.47991515429757E-2</c:v>
                </c:pt>
                <c:pt idx="5">
                  <c:v>7.1548899170017527E-2</c:v>
                </c:pt>
              </c:numCache>
            </c:numRef>
          </c:val>
          <c:extLst>
            <c:ext xmlns:c16="http://schemas.microsoft.com/office/drawing/2014/chart" uri="{C3380CC4-5D6E-409C-BE32-E72D297353CC}">
              <c16:uniqueId val="{00000000-6578-43B6-9C7E-7E2B2437EA9A}"/>
            </c:ext>
          </c:extLst>
        </c:ser>
        <c:ser>
          <c:idx val="1"/>
          <c:order val="1"/>
          <c:tx>
            <c:strRef>
              <c:f>'Pivot 2'!$C$3:$C$4</c:f>
              <c:strCache>
                <c:ptCount val="1"/>
                <c:pt idx="0">
                  <c:v>Energy</c:v>
                </c:pt>
              </c:strCache>
            </c:strRef>
          </c:tx>
          <c:dPt>
            <c:idx val="0"/>
            <c:bubble3D val="0"/>
            <c:spPr>
              <a:solidFill>
                <a:schemeClr val="accent1"/>
              </a:solidFill>
              <a:ln>
                <a:noFill/>
              </a:ln>
              <a:effectLst/>
            </c:spPr>
            <c:extLst>
              <c:ext xmlns:c16="http://schemas.microsoft.com/office/drawing/2014/chart" uri="{C3380CC4-5D6E-409C-BE32-E72D297353CC}">
                <c16:uniqueId val="{0000000D-7E3A-4CF4-9331-03B6C09EC5A5}"/>
              </c:ext>
            </c:extLst>
          </c:dPt>
          <c:dPt>
            <c:idx val="1"/>
            <c:bubble3D val="0"/>
            <c:spPr>
              <a:solidFill>
                <a:schemeClr val="accent2"/>
              </a:solidFill>
              <a:ln>
                <a:noFill/>
              </a:ln>
              <a:effectLst/>
            </c:spPr>
            <c:extLst>
              <c:ext xmlns:c16="http://schemas.microsoft.com/office/drawing/2014/chart" uri="{C3380CC4-5D6E-409C-BE32-E72D297353CC}">
                <c16:uniqueId val="{0000000F-7E3A-4CF4-9331-03B6C09EC5A5}"/>
              </c:ext>
            </c:extLst>
          </c:dPt>
          <c:dPt>
            <c:idx val="2"/>
            <c:bubble3D val="0"/>
            <c:spPr>
              <a:solidFill>
                <a:schemeClr val="accent3"/>
              </a:solidFill>
              <a:ln>
                <a:noFill/>
              </a:ln>
              <a:effectLst/>
            </c:spPr>
            <c:extLst>
              <c:ext xmlns:c16="http://schemas.microsoft.com/office/drawing/2014/chart" uri="{C3380CC4-5D6E-409C-BE32-E72D297353CC}">
                <c16:uniqueId val="{00000011-7E3A-4CF4-9331-03B6C09EC5A5}"/>
              </c:ext>
            </c:extLst>
          </c:dPt>
          <c:dPt>
            <c:idx val="3"/>
            <c:bubble3D val="0"/>
            <c:spPr>
              <a:solidFill>
                <a:schemeClr val="accent4"/>
              </a:solidFill>
              <a:ln>
                <a:noFill/>
              </a:ln>
              <a:effectLst/>
            </c:spPr>
            <c:extLst>
              <c:ext xmlns:c16="http://schemas.microsoft.com/office/drawing/2014/chart" uri="{C3380CC4-5D6E-409C-BE32-E72D297353CC}">
                <c16:uniqueId val="{00000013-7E3A-4CF4-9331-03B6C09EC5A5}"/>
              </c:ext>
            </c:extLst>
          </c:dPt>
          <c:dPt>
            <c:idx val="4"/>
            <c:bubble3D val="0"/>
            <c:spPr>
              <a:solidFill>
                <a:schemeClr val="accent5"/>
              </a:solidFill>
              <a:ln>
                <a:noFill/>
              </a:ln>
              <a:effectLst/>
            </c:spPr>
            <c:extLst>
              <c:ext xmlns:c16="http://schemas.microsoft.com/office/drawing/2014/chart" uri="{C3380CC4-5D6E-409C-BE32-E72D297353CC}">
                <c16:uniqueId val="{00000015-7E3A-4CF4-9331-03B6C09EC5A5}"/>
              </c:ext>
            </c:extLst>
          </c:dPt>
          <c:dPt>
            <c:idx val="5"/>
            <c:bubble3D val="0"/>
            <c:spPr>
              <a:solidFill>
                <a:schemeClr val="accent6"/>
              </a:solidFill>
              <a:ln>
                <a:noFill/>
              </a:ln>
              <a:effectLst/>
            </c:spPr>
            <c:extLst>
              <c:ext xmlns:c16="http://schemas.microsoft.com/office/drawing/2014/chart" uri="{C3380CC4-5D6E-409C-BE32-E72D297353CC}">
                <c16:uniqueId val="{00000017-7E3A-4CF4-9331-03B6C09EC5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2'!$A$5:$A$11</c:f>
              <c:strCache>
                <c:ptCount val="6"/>
                <c:pt idx="0">
                  <c:v>BHP Supplies</c:v>
                </c:pt>
                <c:pt idx="1">
                  <c:v>DP World Industrial</c:v>
                </c:pt>
                <c:pt idx="2">
                  <c:v>Hitachi</c:v>
                </c:pt>
                <c:pt idx="3">
                  <c:v>Schneider Electric</c:v>
                </c:pt>
                <c:pt idx="4">
                  <c:v>Shanghai Solar Tech</c:v>
                </c:pt>
                <c:pt idx="5">
                  <c:v>Siemens India</c:v>
                </c:pt>
              </c:strCache>
            </c:strRef>
          </c:cat>
          <c:val>
            <c:numRef>
              <c:f>'Pivot 2'!$C$5:$C$11</c:f>
              <c:numCache>
                <c:formatCode>0.00%</c:formatCode>
                <c:ptCount val="6"/>
                <c:pt idx="0">
                  <c:v>1.4784437208696639E-2</c:v>
                </c:pt>
                <c:pt idx="1">
                  <c:v>2.5768507656870755E-2</c:v>
                </c:pt>
                <c:pt idx="2">
                  <c:v>4.4555442518818156E-2</c:v>
                </c:pt>
                <c:pt idx="3">
                  <c:v>7.5479881881996436E-3</c:v>
                </c:pt>
                <c:pt idx="4">
                  <c:v>7.3926775747092888E-2</c:v>
                </c:pt>
                <c:pt idx="5">
                  <c:v>1.3495931005718052E-2</c:v>
                </c:pt>
              </c:numCache>
            </c:numRef>
          </c:val>
          <c:extLst>
            <c:ext xmlns:c16="http://schemas.microsoft.com/office/drawing/2014/chart" uri="{C3380CC4-5D6E-409C-BE32-E72D297353CC}">
              <c16:uniqueId val="{0000001D-C0E6-4640-9D83-ED3B0A5A526C}"/>
            </c:ext>
          </c:extLst>
        </c:ser>
        <c:ser>
          <c:idx val="2"/>
          <c:order val="2"/>
          <c:tx>
            <c:strRef>
              <c:f>'Pivot 2'!$D$3:$D$4</c:f>
              <c:strCache>
                <c:ptCount val="1"/>
                <c:pt idx="0">
                  <c:v>Logistics</c:v>
                </c:pt>
              </c:strCache>
            </c:strRef>
          </c:tx>
          <c:dPt>
            <c:idx val="0"/>
            <c:bubble3D val="0"/>
            <c:spPr>
              <a:solidFill>
                <a:schemeClr val="accent1"/>
              </a:solidFill>
              <a:ln>
                <a:noFill/>
              </a:ln>
              <a:effectLst/>
            </c:spPr>
            <c:extLst>
              <c:ext xmlns:c16="http://schemas.microsoft.com/office/drawing/2014/chart" uri="{C3380CC4-5D6E-409C-BE32-E72D297353CC}">
                <c16:uniqueId val="{00000019-7E3A-4CF4-9331-03B6C09EC5A5}"/>
              </c:ext>
            </c:extLst>
          </c:dPt>
          <c:dPt>
            <c:idx val="1"/>
            <c:bubble3D val="0"/>
            <c:spPr>
              <a:solidFill>
                <a:schemeClr val="accent2"/>
              </a:solidFill>
              <a:ln>
                <a:noFill/>
              </a:ln>
              <a:effectLst/>
            </c:spPr>
            <c:extLst>
              <c:ext xmlns:c16="http://schemas.microsoft.com/office/drawing/2014/chart" uri="{C3380CC4-5D6E-409C-BE32-E72D297353CC}">
                <c16:uniqueId val="{0000001B-7E3A-4CF4-9331-03B6C09EC5A5}"/>
              </c:ext>
            </c:extLst>
          </c:dPt>
          <c:dPt>
            <c:idx val="2"/>
            <c:bubble3D val="0"/>
            <c:spPr>
              <a:solidFill>
                <a:schemeClr val="accent3"/>
              </a:solidFill>
              <a:ln>
                <a:noFill/>
              </a:ln>
              <a:effectLst/>
            </c:spPr>
            <c:extLst>
              <c:ext xmlns:c16="http://schemas.microsoft.com/office/drawing/2014/chart" uri="{C3380CC4-5D6E-409C-BE32-E72D297353CC}">
                <c16:uniqueId val="{0000001D-7E3A-4CF4-9331-03B6C09EC5A5}"/>
              </c:ext>
            </c:extLst>
          </c:dPt>
          <c:dPt>
            <c:idx val="3"/>
            <c:bubble3D val="0"/>
            <c:spPr>
              <a:solidFill>
                <a:schemeClr val="accent4"/>
              </a:solidFill>
              <a:ln>
                <a:noFill/>
              </a:ln>
              <a:effectLst/>
            </c:spPr>
            <c:extLst>
              <c:ext xmlns:c16="http://schemas.microsoft.com/office/drawing/2014/chart" uri="{C3380CC4-5D6E-409C-BE32-E72D297353CC}">
                <c16:uniqueId val="{0000001F-7E3A-4CF4-9331-03B6C09EC5A5}"/>
              </c:ext>
            </c:extLst>
          </c:dPt>
          <c:dPt>
            <c:idx val="4"/>
            <c:bubble3D val="0"/>
            <c:spPr>
              <a:solidFill>
                <a:schemeClr val="accent5"/>
              </a:solidFill>
              <a:ln>
                <a:noFill/>
              </a:ln>
              <a:effectLst/>
            </c:spPr>
            <c:extLst>
              <c:ext xmlns:c16="http://schemas.microsoft.com/office/drawing/2014/chart" uri="{C3380CC4-5D6E-409C-BE32-E72D297353CC}">
                <c16:uniqueId val="{00000021-7E3A-4CF4-9331-03B6C09EC5A5}"/>
              </c:ext>
            </c:extLst>
          </c:dPt>
          <c:dPt>
            <c:idx val="5"/>
            <c:bubble3D val="0"/>
            <c:spPr>
              <a:solidFill>
                <a:schemeClr val="accent6"/>
              </a:solidFill>
              <a:ln>
                <a:noFill/>
              </a:ln>
              <a:effectLst/>
            </c:spPr>
            <c:extLst>
              <c:ext xmlns:c16="http://schemas.microsoft.com/office/drawing/2014/chart" uri="{C3380CC4-5D6E-409C-BE32-E72D297353CC}">
                <c16:uniqueId val="{00000023-7E3A-4CF4-9331-03B6C09EC5A5}"/>
              </c:ext>
            </c:extLst>
          </c:dPt>
          <c:dLbls>
            <c:delete val="1"/>
          </c:dLbls>
          <c:cat>
            <c:strRef>
              <c:f>'Pivot 2'!$A$5:$A$11</c:f>
              <c:strCache>
                <c:ptCount val="6"/>
                <c:pt idx="0">
                  <c:v>BHP Supplies</c:v>
                </c:pt>
                <c:pt idx="1">
                  <c:v>DP World Industrial</c:v>
                </c:pt>
                <c:pt idx="2">
                  <c:v>Hitachi</c:v>
                </c:pt>
                <c:pt idx="3">
                  <c:v>Schneider Electric</c:v>
                </c:pt>
                <c:pt idx="4">
                  <c:v>Shanghai Solar Tech</c:v>
                </c:pt>
                <c:pt idx="5">
                  <c:v>Siemens India</c:v>
                </c:pt>
              </c:strCache>
            </c:strRef>
          </c:cat>
          <c:val>
            <c:numRef>
              <c:f>'Pivot 2'!$D$5:$D$11</c:f>
              <c:numCache>
                <c:formatCode>0.00%</c:formatCode>
                <c:ptCount val="6"/>
                <c:pt idx="0">
                  <c:v>6.5797941135844154E-2</c:v>
                </c:pt>
                <c:pt idx="1">
                  <c:v>1.7732650634729639E-2</c:v>
                </c:pt>
                <c:pt idx="2">
                  <c:v>5.8740919279549941E-2</c:v>
                </c:pt>
                <c:pt idx="3">
                  <c:v>3.9311220412076998E-2</c:v>
                </c:pt>
                <c:pt idx="4">
                  <c:v>2.9892114259275605E-2</c:v>
                </c:pt>
                <c:pt idx="5">
                  <c:v>2.7800426561154726E-2</c:v>
                </c:pt>
              </c:numCache>
            </c:numRef>
          </c:val>
          <c:extLst>
            <c:ext xmlns:c16="http://schemas.microsoft.com/office/drawing/2014/chart" uri="{C3380CC4-5D6E-409C-BE32-E72D297353CC}">
              <c16:uniqueId val="{0000001E-C0E6-4640-9D83-ED3B0A5A526C}"/>
            </c:ext>
          </c:extLst>
        </c:ser>
        <c:ser>
          <c:idx val="3"/>
          <c:order val="3"/>
          <c:tx>
            <c:strRef>
              <c:f>'Pivot 2'!$E$3:$E$4</c:f>
              <c:strCache>
                <c:ptCount val="1"/>
                <c:pt idx="0">
                  <c:v>Mining</c:v>
                </c:pt>
              </c:strCache>
            </c:strRef>
          </c:tx>
          <c:dPt>
            <c:idx val="0"/>
            <c:bubble3D val="0"/>
            <c:spPr>
              <a:solidFill>
                <a:schemeClr val="accent1"/>
              </a:solidFill>
              <a:ln>
                <a:noFill/>
              </a:ln>
              <a:effectLst/>
            </c:spPr>
            <c:extLst>
              <c:ext xmlns:c16="http://schemas.microsoft.com/office/drawing/2014/chart" uri="{C3380CC4-5D6E-409C-BE32-E72D297353CC}">
                <c16:uniqueId val="{00000025-7E3A-4CF4-9331-03B6C09EC5A5}"/>
              </c:ext>
            </c:extLst>
          </c:dPt>
          <c:dPt>
            <c:idx val="1"/>
            <c:bubble3D val="0"/>
            <c:spPr>
              <a:solidFill>
                <a:schemeClr val="accent2"/>
              </a:solidFill>
              <a:ln>
                <a:noFill/>
              </a:ln>
              <a:effectLst/>
            </c:spPr>
            <c:extLst>
              <c:ext xmlns:c16="http://schemas.microsoft.com/office/drawing/2014/chart" uri="{C3380CC4-5D6E-409C-BE32-E72D297353CC}">
                <c16:uniqueId val="{00000027-7E3A-4CF4-9331-03B6C09EC5A5}"/>
              </c:ext>
            </c:extLst>
          </c:dPt>
          <c:dPt>
            <c:idx val="2"/>
            <c:bubble3D val="0"/>
            <c:spPr>
              <a:solidFill>
                <a:schemeClr val="accent3"/>
              </a:solidFill>
              <a:ln>
                <a:noFill/>
              </a:ln>
              <a:effectLst/>
            </c:spPr>
            <c:extLst>
              <c:ext xmlns:c16="http://schemas.microsoft.com/office/drawing/2014/chart" uri="{C3380CC4-5D6E-409C-BE32-E72D297353CC}">
                <c16:uniqueId val="{00000029-7E3A-4CF4-9331-03B6C09EC5A5}"/>
              </c:ext>
            </c:extLst>
          </c:dPt>
          <c:dPt>
            <c:idx val="3"/>
            <c:bubble3D val="0"/>
            <c:spPr>
              <a:solidFill>
                <a:schemeClr val="accent4"/>
              </a:solidFill>
              <a:ln>
                <a:noFill/>
              </a:ln>
              <a:effectLst/>
            </c:spPr>
            <c:extLst>
              <c:ext xmlns:c16="http://schemas.microsoft.com/office/drawing/2014/chart" uri="{C3380CC4-5D6E-409C-BE32-E72D297353CC}">
                <c16:uniqueId val="{0000002B-7E3A-4CF4-9331-03B6C09EC5A5}"/>
              </c:ext>
            </c:extLst>
          </c:dPt>
          <c:dPt>
            <c:idx val="4"/>
            <c:bubble3D val="0"/>
            <c:spPr>
              <a:solidFill>
                <a:schemeClr val="accent5"/>
              </a:solidFill>
              <a:ln>
                <a:noFill/>
              </a:ln>
              <a:effectLst/>
            </c:spPr>
            <c:extLst>
              <c:ext xmlns:c16="http://schemas.microsoft.com/office/drawing/2014/chart" uri="{C3380CC4-5D6E-409C-BE32-E72D297353CC}">
                <c16:uniqueId val="{0000002D-7E3A-4CF4-9331-03B6C09EC5A5}"/>
              </c:ext>
            </c:extLst>
          </c:dPt>
          <c:dPt>
            <c:idx val="5"/>
            <c:bubble3D val="0"/>
            <c:spPr>
              <a:solidFill>
                <a:schemeClr val="accent6"/>
              </a:solidFill>
              <a:ln>
                <a:noFill/>
              </a:ln>
              <a:effectLst/>
            </c:spPr>
            <c:extLst>
              <c:ext xmlns:c16="http://schemas.microsoft.com/office/drawing/2014/chart" uri="{C3380CC4-5D6E-409C-BE32-E72D297353CC}">
                <c16:uniqueId val="{0000002F-7E3A-4CF4-9331-03B6C09EC5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2'!$A$5:$A$11</c:f>
              <c:strCache>
                <c:ptCount val="6"/>
                <c:pt idx="0">
                  <c:v>BHP Supplies</c:v>
                </c:pt>
                <c:pt idx="1">
                  <c:v>DP World Industrial</c:v>
                </c:pt>
                <c:pt idx="2">
                  <c:v>Hitachi</c:v>
                </c:pt>
                <c:pt idx="3">
                  <c:v>Schneider Electric</c:v>
                </c:pt>
                <c:pt idx="4">
                  <c:v>Shanghai Solar Tech</c:v>
                </c:pt>
                <c:pt idx="5">
                  <c:v>Siemens India</c:v>
                </c:pt>
              </c:strCache>
            </c:strRef>
          </c:cat>
          <c:val>
            <c:numRef>
              <c:f>'Pivot 2'!$E$5:$E$11</c:f>
              <c:numCache>
                <c:formatCode>0.00%</c:formatCode>
                <c:ptCount val="6"/>
                <c:pt idx="0">
                  <c:v>5.5690563739815117E-2</c:v>
                </c:pt>
                <c:pt idx="1">
                  <c:v>2.7367083261913106E-2</c:v>
                </c:pt>
                <c:pt idx="2">
                  <c:v>1.480245116601283E-2</c:v>
                </c:pt>
                <c:pt idx="3">
                  <c:v>2.0550514726249809E-2</c:v>
                </c:pt>
                <c:pt idx="4">
                  <c:v>2.4710064100226539E-2</c:v>
                </c:pt>
                <c:pt idx="5">
                  <c:v>4.1773507960555477E-2</c:v>
                </c:pt>
              </c:numCache>
            </c:numRef>
          </c:val>
          <c:extLst>
            <c:ext xmlns:c16="http://schemas.microsoft.com/office/drawing/2014/chart" uri="{C3380CC4-5D6E-409C-BE32-E72D297353CC}">
              <c16:uniqueId val="{0000001F-C0E6-4640-9D83-ED3B0A5A526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[Adani_Procurement_Spend_Dashboard_Dataset.xlsx]Pivot4!PivotTable12</c:name>
    <c:fmtId val="3"/>
  </c:pivotSource>
  <c:chart>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C00000">
                  <a:tint val="66000"/>
                  <a:satMod val="160000"/>
                </a:srgbClr>
              </a:gs>
              <a:gs pos="50000">
                <a:srgbClr val="C00000">
                  <a:tint val="44500"/>
                  <a:satMod val="160000"/>
                </a:srgbClr>
              </a:gs>
              <a:gs pos="100000">
                <a:srgbClr val="C00000">
                  <a:tint val="23500"/>
                  <a:satMod val="160000"/>
                </a:srgb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87270341207348"/>
          <c:y val="0.17388451443569553"/>
          <c:w val="0.69338648293963256"/>
          <c:h val="0.6076742490522018"/>
        </c:manualLayout>
      </c:layout>
      <c:barChart>
        <c:barDir val="col"/>
        <c:grouping val="clustered"/>
        <c:varyColors val="0"/>
        <c:ser>
          <c:idx val="0"/>
          <c:order val="0"/>
          <c:tx>
            <c:strRef>
              <c:f>Pivot4!$B$3:$B$4</c:f>
              <c:strCache>
                <c:ptCount val="1"/>
                <c:pt idx="0">
                  <c:v>Closed</c:v>
                </c:pt>
              </c:strCache>
            </c:strRef>
          </c:tx>
          <c:spPr>
            <a:solidFill>
              <a:srgbClr val="00B050"/>
            </a:solidFill>
            <a:ln>
              <a:noFill/>
            </a:ln>
            <a:effectLst/>
          </c:spPr>
          <c:invertIfNegative val="0"/>
          <c:cat>
            <c:strRef>
              <c:f>Pivot4!$A$5:$A$11</c:f>
              <c:strCache>
                <c:ptCount val="6"/>
                <c:pt idx="0">
                  <c:v>Airports</c:v>
                </c:pt>
                <c:pt idx="1">
                  <c:v>Data Centers</c:v>
                </c:pt>
                <c:pt idx="2">
                  <c:v>Energy</c:v>
                </c:pt>
                <c:pt idx="3">
                  <c:v>Logistics</c:v>
                </c:pt>
                <c:pt idx="4">
                  <c:v>Mining</c:v>
                </c:pt>
                <c:pt idx="5">
                  <c:v>Solar</c:v>
                </c:pt>
              </c:strCache>
            </c:strRef>
          </c:cat>
          <c:val>
            <c:numRef>
              <c:f>Pivot4!$B$5:$B$11</c:f>
              <c:numCache>
                <c:formatCode>0.00%</c:formatCode>
                <c:ptCount val="6"/>
                <c:pt idx="0">
                  <c:v>0.37758405459663696</c:v>
                </c:pt>
                <c:pt idx="1">
                  <c:v>0.33954387682612475</c:v>
                </c:pt>
                <c:pt idx="2">
                  <c:v>0.37338282640937803</c:v>
                </c:pt>
                <c:pt idx="3">
                  <c:v>0.21165522218097138</c:v>
                </c:pt>
                <c:pt idx="4">
                  <c:v>0.17266225102632909</c:v>
                </c:pt>
                <c:pt idx="5">
                  <c:v>0.21506086176544209</c:v>
                </c:pt>
              </c:numCache>
            </c:numRef>
          </c:val>
          <c:extLst>
            <c:ext xmlns:c16="http://schemas.microsoft.com/office/drawing/2014/chart" uri="{C3380CC4-5D6E-409C-BE32-E72D297353CC}">
              <c16:uniqueId val="{00000000-14DB-425E-AFED-C20CCD4D443F}"/>
            </c:ext>
          </c:extLst>
        </c:ser>
        <c:ser>
          <c:idx val="1"/>
          <c:order val="1"/>
          <c:tx>
            <c:strRef>
              <c:f>Pivot4!$C$3:$C$4</c:f>
              <c:strCache>
                <c:ptCount val="1"/>
                <c:pt idx="0">
                  <c:v>In Transit</c:v>
                </c:pt>
              </c:strCache>
            </c:strRef>
          </c:tx>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5400000" scaled="1"/>
              <a:tileRect/>
            </a:gradFill>
            <a:ln>
              <a:noFill/>
            </a:ln>
            <a:effectLst/>
          </c:spPr>
          <c:invertIfNegative val="0"/>
          <c:cat>
            <c:strRef>
              <c:f>Pivot4!$A$5:$A$11</c:f>
              <c:strCache>
                <c:ptCount val="6"/>
                <c:pt idx="0">
                  <c:v>Airports</c:v>
                </c:pt>
                <c:pt idx="1">
                  <c:v>Data Centers</c:v>
                </c:pt>
                <c:pt idx="2">
                  <c:v>Energy</c:v>
                </c:pt>
                <c:pt idx="3">
                  <c:v>Logistics</c:v>
                </c:pt>
                <c:pt idx="4">
                  <c:v>Mining</c:v>
                </c:pt>
                <c:pt idx="5">
                  <c:v>Solar</c:v>
                </c:pt>
              </c:strCache>
            </c:strRef>
          </c:cat>
          <c:val>
            <c:numRef>
              <c:f>Pivot4!$C$5:$C$11</c:f>
              <c:numCache>
                <c:formatCode>0.00%</c:formatCode>
                <c:ptCount val="6"/>
                <c:pt idx="0">
                  <c:v>0.28387522362308776</c:v>
                </c:pt>
                <c:pt idx="1">
                  <c:v>0.17697441276449449</c:v>
                </c:pt>
                <c:pt idx="2">
                  <c:v>0.21056450676008837</c:v>
                </c:pt>
                <c:pt idx="3">
                  <c:v>0.36565972930944518</c:v>
                </c:pt>
                <c:pt idx="4">
                  <c:v>0.45588342028468315</c:v>
                </c:pt>
                <c:pt idx="5">
                  <c:v>0.47415667411405255</c:v>
                </c:pt>
              </c:numCache>
            </c:numRef>
          </c:val>
          <c:extLst>
            <c:ext xmlns:c16="http://schemas.microsoft.com/office/drawing/2014/chart" uri="{C3380CC4-5D6E-409C-BE32-E72D297353CC}">
              <c16:uniqueId val="{00000001-14DB-425E-AFED-C20CCD4D443F}"/>
            </c:ext>
          </c:extLst>
        </c:ser>
        <c:ser>
          <c:idx val="2"/>
          <c:order val="2"/>
          <c:tx>
            <c:strRef>
              <c:f>Pivot4!$D$3:$D$4</c:f>
              <c:strCache>
                <c:ptCount val="1"/>
                <c:pt idx="0">
                  <c:v>Open</c:v>
                </c:pt>
              </c:strCache>
            </c:strRef>
          </c:tx>
          <c:spPr>
            <a:gradFill flip="none" rotWithShape="1">
              <a:gsLst>
                <a:gs pos="0">
                  <a:srgbClr val="C00000">
                    <a:tint val="66000"/>
                    <a:satMod val="160000"/>
                  </a:srgbClr>
                </a:gs>
                <a:gs pos="50000">
                  <a:srgbClr val="C00000">
                    <a:tint val="44500"/>
                    <a:satMod val="160000"/>
                  </a:srgbClr>
                </a:gs>
                <a:gs pos="100000">
                  <a:srgbClr val="C00000">
                    <a:tint val="23500"/>
                    <a:satMod val="160000"/>
                  </a:srgbClr>
                </a:gs>
              </a:gsLst>
              <a:lin ang="5400000" scaled="1"/>
              <a:tileRect/>
            </a:gradFill>
            <a:ln>
              <a:noFill/>
            </a:ln>
            <a:effectLst/>
          </c:spPr>
          <c:invertIfNegative val="0"/>
          <c:cat>
            <c:strRef>
              <c:f>Pivot4!$A$5:$A$11</c:f>
              <c:strCache>
                <c:ptCount val="6"/>
                <c:pt idx="0">
                  <c:v>Airports</c:v>
                </c:pt>
                <c:pt idx="1">
                  <c:v>Data Centers</c:v>
                </c:pt>
                <c:pt idx="2">
                  <c:v>Energy</c:v>
                </c:pt>
                <c:pt idx="3">
                  <c:v>Logistics</c:v>
                </c:pt>
                <c:pt idx="4">
                  <c:v>Mining</c:v>
                </c:pt>
                <c:pt idx="5">
                  <c:v>Solar</c:v>
                </c:pt>
              </c:strCache>
            </c:strRef>
          </c:cat>
          <c:val>
            <c:numRef>
              <c:f>Pivot4!$D$5:$D$11</c:f>
              <c:numCache>
                <c:formatCode>0.00%</c:formatCode>
                <c:ptCount val="6"/>
                <c:pt idx="0">
                  <c:v>0.33854072178027533</c:v>
                </c:pt>
                <c:pt idx="1">
                  <c:v>0.48348171040938082</c:v>
                </c:pt>
                <c:pt idx="2">
                  <c:v>0.41605266683053349</c:v>
                </c:pt>
                <c:pt idx="3">
                  <c:v>0.42268504850958344</c:v>
                </c:pt>
                <c:pt idx="4">
                  <c:v>0.37145432868898776</c:v>
                </c:pt>
                <c:pt idx="5">
                  <c:v>0.31078246412050542</c:v>
                </c:pt>
              </c:numCache>
            </c:numRef>
          </c:val>
          <c:extLst>
            <c:ext xmlns:c16="http://schemas.microsoft.com/office/drawing/2014/chart" uri="{C3380CC4-5D6E-409C-BE32-E72D297353CC}">
              <c16:uniqueId val="{00000002-14DB-425E-AFED-C20CCD4D443F}"/>
            </c:ext>
          </c:extLst>
        </c:ser>
        <c:dLbls>
          <c:showLegendKey val="0"/>
          <c:showVal val="0"/>
          <c:showCatName val="0"/>
          <c:showSerName val="0"/>
          <c:showPercent val="0"/>
          <c:showBubbleSize val="0"/>
        </c:dLbls>
        <c:gapWidth val="219"/>
        <c:overlap val="-27"/>
        <c:axId val="1488585871"/>
        <c:axId val="1488587791"/>
      </c:barChart>
      <c:catAx>
        <c:axId val="148858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587791"/>
        <c:crosses val="autoZero"/>
        <c:auto val="1"/>
        <c:lblAlgn val="ctr"/>
        <c:lblOffset val="100"/>
        <c:noMultiLvlLbl val="0"/>
      </c:catAx>
      <c:valAx>
        <c:axId val="14885877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585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[Adani_Procurement_Spend_Dashboard_Dataset.xlsx]Suppliers!PivotTable9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Quality</a:t>
            </a:r>
            <a:r>
              <a:rPr lang="en-US" baseline="0"/>
              <a:t> Score of supplier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Suppliers!$C$13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Suppliers!$B$14:$B$20</c:f>
              <c:strCache>
                <c:ptCount val="6"/>
                <c:pt idx="0">
                  <c:v>BHP Supplies</c:v>
                </c:pt>
                <c:pt idx="1">
                  <c:v>DP World Industrial</c:v>
                </c:pt>
                <c:pt idx="2">
                  <c:v>Hitachi</c:v>
                </c:pt>
                <c:pt idx="3">
                  <c:v>Schneider Electric</c:v>
                </c:pt>
                <c:pt idx="4">
                  <c:v>Shanghai Solar Tech</c:v>
                </c:pt>
                <c:pt idx="5">
                  <c:v>Siemens India</c:v>
                </c:pt>
              </c:strCache>
            </c:strRef>
          </c:cat>
          <c:val>
            <c:numRef>
              <c:f>Suppliers!$C$14:$C$20</c:f>
              <c:numCache>
                <c:formatCode>General</c:formatCode>
                <c:ptCount val="6"/>
                <c:pt idx="0">
                  <c:v>4.62</c:v>
                </c:pt>
                <c:pt idx="1">
                  <c:v>4.57</c:v>
                </c:pt>
                <c:pt idx="2">
                  <c:v>3.95</c:v>
                </c:pt>
                <c:pt idx="3">
                  <c:v>3.54</c:v>
                </c:pt>
                <c:pt idx="4">
                  <c:v>4</c:v>
                </c:pt>
                <c:pt idx="5">
                  <c:v>4.8499999999999996</c:v>
                </c:pt>
              </c:numCache>
            </c:numRef>
          </c:val>
          <c:extLst>
            <c:ext xmlns:c16="http://schemas.microsoft.com/office/drawing/2014/chart" uri="{C3380CC4-5D6E-409C-BE32-E72D297353CC}">
              <c16:uniqueId val="{00000000-3E54-4C9A-A8F1-D6663D9190B4}"/>
            </c:ext>
          </c:extLst>
        </c:ser>
        <c:dLbls>
          <c:dLblPos val="outEnd"/>
          <c:showLegendKey val="0"/>
          <c:showVal val="1"/>
          <c:showCatName val="0"/>
          <c:showSerName val="0"/>
          <c:showPercent val="0"/>
          <c:showBubbleSize val="0"/>
        </c:dLbls>
        <c:gapWidth val="219"/>
        <c:overlap val="-27"/>
        <c:axId val="1206169471"/>
        <c:axId val="1206158911"/>
      </c:barChart>
      <c:catAx>
        <c:axId val="120616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158911"/>
        <c:crosses val="autoZero"/>
        <c:auto val="1"/>
        <c:lblAlgn val="ctr"/>
        <c:lblOffset val="100"/>
        <c:noMultiLvlLbl val="0"/>
      </c:catAx>
      <c:valAx>
        <c:axId val="1206158911"/>
        <c:scaling>
          <c:orientation val="minMax"/>
        </c:scaling>
        <c:delete val="1"/>
        <c:axPos val="l"/>
        <c:numFmt formatCode="General" sourceLinked="1"/>
        <c:majorTickMark val="none"/>
        <c:minorTickMark val="none"/>
        <c:tickLblPos val="nextTo"/>
        <c:crossAx val="1206169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[Adani_Procurement_Spend_Dashboard_Dataset.xlsx]Pivot3!PivotTable11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Pivot3!$B$3:$B$4</c:f>
              <c:strCache>
                <c:ptCount val="1"/>
                <c:pt idx="0">
                  <c:v>Overdue</c:v>
                </c:pt>
              </c:strCache>
            </c:strRef>
          </c:tx>
          <c:spPr>
            <a:solidFill>
              <a:srgbClr val="FF0000"/>
            </a:solidFill>
            <a:ln>
              <a:noFill/>
            </a:ln>
            <a:effectLst/>
          </c:spPr>
          <c:invertIfNegative val="0"/>
          <c:cat>
            <c:strRef>
              <c:f>Pivot3!$A$5:$A$12</c:f>
              <c:strCache>
                <c:ptCount val="7"/>
                <c:pt idx="0">
                  <c:v>Jan</c:v>
                </c:pt>
                <c:pt idx="1">
                  <c:v>Feb</c:v>
                </c:pt>
                <c:pt idx="2">
                  <c:v>Mar</c:v>
                </c:pt>
                <c:pt idx="3">
                  <c:v>Apr</c:v>
                </c:pt>
                <c:pt idx="4">
                  <c:v>May</c:v>
                </c:pt>
                <c:pt idx="5">
                  <c:v>Jun</c:v>
                </c:pt>
                <c:pt idx="6">
                  <c:v>Jul</c:v>
                </c:pt>
              </c:strCache>
            </c:strRef>
          </c:cat>
          <c:val>
            <c:numRef>
              <c:f>Pivot3!$B$5:$B$12</c:f>
              <c:numCache>
                <c:formatCode>0.00%</c:formatCode>
                <c:ptCount val="7"/>
                <c:pt idx="0">
                  <c:v>0.59194509777946369</c:v>
                </c:pt>
                <c:pt idx="1">
                  <c:v>0.19162703192801692</c:v>
                </c:pt>
                <c:pt idx="2">
                  <c:v>0.25360752531250241</c:v>
                </c:pt>
                <c:pt idx="3">
                  <c:v>0.16029283175568385</c:v>
                </c:pt>
                <c:pt idx="4">
                  <c:v>0.49738681467694262</c:v>
                </c:pt>
                <c:pt idx="5">
                  <c:v>0.34512166233426783</c:v>
                </c:pt>
                <c:pt idx="6">
                  <c:v>0.19508709596078935</c:v>
                </c:pt>
              </c:numCache>
            </c:numRef>
          </c:val>
          <c:extLst>
            <c:ext xmlns:c16="http://schemas.microsoft.com/office/drawing/2014/chart" uri="{C3380CC4-5D6E-409C-BE32-E72D297353CC}">
              <c16:uniqueId val="{00000004-3BF3-4040-B3EB-42D0B51092CE}"/>
            </c:ext>
          </c:extLst>
        </c:ser>
        <c:ser>
          <c:idx val="1"/>
          <c:order val="1"/>
          <c:tx>
            <c:strRef>
              <c:f>Pivot3!$C$3:$C$4</c:f>
              <c:strCache>
                <c:ptCount val="1"/>
                <c:pt idx="0">
                  <c:v>Paid</c:v>
                </c:pt>
              </c:strCache>
            </c:strRef>
          </c:tx>
          <c:spPr>
            <a:solidFill>
              <a:schemeClr val="accent3"/>
            </a:solidFill>
            <a:ln>
              <a:noFill/>
            </a:ln>
            <a:effectLst/>
          </c:spPr>
          <c:invertIfNegative val="0"/>
          <c:cat>
            <c:strRef>
              <c:f>Pivot3!$A$5:$A$12</c:f>
              <c:strCache>
                <c:ptCount val="7"/>
                <c:pt idx="0">
                  <c:v>Jan</c:v>
                </c:pt>
                <c:pt idx="1">
                  <c:v>Feb</c:v>
                </c:pt>
                <c:pt idx="2">
                  <c:v>Mar</c:v>
                </c:pt>
                <c:pt idx="3">
                  <c:v>Apr</c:v>
                </c:pt>
                <c:pt idx="4">
                  <c:v>May</c:v>
                </c:pt>
                <c:pt idx="5">
                  <c:v>Jun</c:v>
                </c:pt>
                <c:pt idx="6">
                  <c:v>Jul</c:v>
                </c:pt>
              </c:strCache>
            </c:strRef>
          </c:cat>
          <c:val>
            <c:numRef>
              <c:f>Pivot3!$C$5:$C$12</c:f>
              <c:numCache>
                <c:formatCode>0.00%</c:formatCode>
                <c:ptCount val="7"/>
                <c:pt idx="0">
                  <c:v>0.19327370143700162</c:v>
                </c:pt>
                <c:pt idx="1">
                  <c:v>0.36079951323069925</c:v>
                </c:pt>
                <c:pt idx="2">
                  <c:v>0.36744193907307271</c:v>
                </c:pt>
                <c:pt idx="3">
                  <c:v>0.48670558120012963</c:v>
                </c:pt>
                <c:pt idx="4">
                  <c:v>0.34712080446794724</c:v>
                </c:pt>
                <c:pt idx="5">
                  <c:v>0.40299906583935557</c:v>
                </c:pt>
                <c:pt idx="6">
                  <c:v>0.56835374223919033</c:v>
                </c:pt>
              </c:numCache>
            </c:numRef>
          </c:val>
          <c:extLst>
            <c:ext xmlns:c16="http://schemas.microsoft.com/office/drawing/2014/chart" uri="{C3380CC4-5D6E-409C-BE32-E72D297353CC}">
              <c16:uniqueId val="{00000005-3BF3-4040-B3EB-42D0B51092CE}"/>
            </c:ext>
          </c:extLst>
        </c:ser>
        <c:ser>
          <c:idx val="2"/>
          <c:order val="2"/>
          <c:tx>
            <c:strRef>
              <c:f>Pivot3!$D$3:$D$4</c:f>
              <c:strCache>
                <c:ptCount val="1"/>
                <c:pt idx="0">
                  <c:v>Pending</c:v>
                </c:pt>
              </c:strCache>
            </c:strRef>
          </c:tx>
          <c:spPr>
            <a:solidFill>
              <a:schemeClr val="accent6"/>
            </a:solidFill>
            <a:ln>
              <a:noFill/>
            </a:ln>
            <a:effectLst/>
          </c:spPr>
          <c:invertIfNegative val="0"/>
          <c:cat>
            <c:strRef>
              <c:f>Pivot3!$A$5:$A$12</c:f>
              <c:strCache>
                <c:ptCount val="7"/>
                <c:pt idx="0">
                  <c:v>Jan</c:v>
                </c:pt>
                <c:pt idx="1">
                  <c:v>Feb</c:v>
                </c:pt>
                <c:pt idx="2">
                  <c:v>Mar</c:v>
                </c:pt>
                <c:pt idx="3">
                  <c:v>Apr</c:v>
                </c:pt>
                <c:pt idx="4">
                  <c:v>May</c:v>
                </c:pt>
                <c:pt idx="5">
                  <c:v>Jun</c:v>
                </c:pt>
                <c:pt idx="6">
                  <c:v>Jul</c:v>
                </c:pt>
              </c:strCache>
            </c:strRef>
          </c:cat>
          <c:val>
            <c:numRef>
              <c:f>Pivot3!$D$5:$D$12</c:f>
              <c:numCache>
                <c:formatCode>0.00%</c:formatCode>
                <c:ptCount val="7"/>
                <c:pt idx="0">
                  <c:v>0.21478120078353469</c:v>
                </c:pt>
                <c:pt idx="1">
                  <c:v>0.44757345484128391</c:v>
                </c:pt>
                <c:pt idx="2">
                  <c:v>0.37895053561442488</c:v>
                </c:pt>
                <c:pt idx="3">
                  <c:v>0.3530015870441866</c:v>
                </c:pt>
                <c:pt idx="4">
                  <c:v>0.15549238085511013</c:v>
                </c:pt>
                <c:pt idx="5">
                  <c:v>0.25187927182637654</c:v>
                </c:pt>
                <c:pt idx="6">
                  <c:v>0.23655916180002037</c:v>
                </c:pt>
              </c:numCache>
            </c:numRef>
          </c:val>
          <c:extLst>
            <c:ext xmlns:c16="http://schemas.microsoft.com/office/drawing/2014/chart" uri="{C3380CC4-5D6E-409C-BE32-E72D297353CC}">
              <c16:uniqueId val="{00000006-3BF3-4040-B3EB-42D0B51092CE}"/>
            </c:ext>
          </c:extLst>
        </c:ser>
        <c:dLbls>
          <c:showLegendKey val="0"/>
          <c:showVal val="0"/>
          <c:showCatName val="0"/>
          <c:showSerName val="0"/>
          <c:showPercent val="0"/>
          <c:showBubbleSize val="0"/>
        </c:dLbls>
        <c:gapWidth val="219"/>
        <c:axId val="1475642223"/>
        <c:axId val="1475642703"/>
      </c:barChart>
      <c:catAx>
        <c:axId val="1475642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642703"/>
        <c:crosses val="autoZero"/>
        <c:auto val="1"/>
        <c:lblAlgn val="ctr"/>
        <c:lblOffset val="100"/>
        <c:noMultiLvlLbl val="0"/>
      </c:catAx>
      <c:valAx>
        <c:axId val="147564270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642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28575</xdr:colOff>
      <xdr:row>0</xdr:row>
      <xdr:rowOff>142876</xdr:rowOff>
    </xdr:from>
    <xdr:to>
      <xdr:col>16</xdr:col>
      <xdr:colOff>542925</xdr:colOff>
      <xdr:row>3</xdr:row>
      <xdr:rowOff>161925</xdr:rowOff>
    </xdr:to>
    <xdr:sp macro="" textlink="">
      <xdr:nvSpPr>
        <xdr:cNvPr id="4" name="Rectangle 3">
          <a:extLst>
            <a:ext uri="{FF2B5EF4-FFF2-40B4-BE49-F238E27FC236}">
              <a16:creationId xmlns:a16="http://schemas.microsoft.com/office/drawing/2014/main" id="{D9B2149E-0DF4-DE5A-64E3-17ACF58ADBAB}"/>
            </a:ext>
          </a:extLst>
        </xdr:cNvPr>
        <xdr:cNvSpPr/>
      </xdr:nvSpPr>
      <xdr:spPr>
        <a:xfrm>
          <a:off x="2466975" y="142876"/>
          <a:ext cx="7829550" cy="59054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Procurement Spend &amp; Supplier Performance Dashboard</a:t>
          </a:r>
        </a:p>
      </xdr:txBody>
    </xdr:sp>
    <xdr:clientData/>
  </xdr:twoCellAnchor>
  <xdr:twoCellAnchor>
    <xdr:from>
      <xdr:col>1</xdr:col>
      <xdr:colOff>0</xdr:colOff>
      <xdr:row>2</xdr:row>
      <xdr:rowOff>0</xdr:rowOff>
    </xdr:from>
    <xdr:to>
      <xdr:col>1</xdr:col>
      <xdr:colOff>45719</xdr:colOff>
      <xdr:row>2</xdr:row>
      <xdr:rowOff>45719</xdr:rowOff>
    </xdr:to>
    <xdr:sp macro="" textlink="">
      <xdr:nvSpPr>
        <xdr:cNvPr id="11265" name="Text Box 1">
          <a:extLst>
            <a:ext uri="{FF2B5EF4-FFF2-40B4-BE49-F238E27FC236}">
              <a16:creationId xmlns:a16="http://schemas.microsoft.com/office/drawing/2014/main" id="{1769239F-4B04-FD57-46D6-66A3D6BABD40}"/>
            </a:ext>
          </a:extLst>
        </xdr:cNvPr>
        <xdr:cNvSpPr txBox="1">
          <a:spLocks noChangeArrowheads="1"/>
        </xdr:cNvSpPr>
      </xdr:nvSpPr>
      <xdr:spPr bwMode="auto">
        <a:xfrm>
          <a:off x="609600" y="381000"/>
          <a:ext cx="45719" cy="45719"/>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endParaRPr lang="en-IN" sz="1100" b="0" i="0" u="none" strike="noStrike" baseline="0">
            <a:solidFill>
              <a:srgbClr val="000000"/>
            </a:solidFill>
            <a:latin typeface="Calibri"/>
            <a:cs typeface="Calibri"/>
          </a:endParaRPr>
        </a:p>
      </xdr:txBody>
    </xdr:sp>
    <xdr:clientData/>
  </xdr:twoCellAnchor>
  <xdr:twoCellAnchor>
    <xdr:from>
      <xdr:col>0</xdr:col>
      <xdr:colOff>552450</xdr:colOff>
      <xdr:row>4</xdr:row>
      <xdr:rowOff>133349</xdr:rowOff>
    </xdr:from>
    <xdr:to>
      <xdr:col>4</xdr:col>
      <xdr:colOff>419100</xdr:colOff>
      <xdr:row>10</xdr:row>
      <xdr:rowOff>28574</xdr:rowOff>
    </xdr:to>
    <xdr:sp macro="" textlink="Sheet7!C6">
      <xdr:nvSpPr>
        <xdr:cNvPr id="10" name="Rectangle 9">
          <a:extLst>
            <a:ext uri="{FF2B5EF4-FFF2-40B4-BE49-F238E27FC236}">
              <a16:creationId xmlns:a16="http://schemas.microsoft.com/office/drawing/2014/main" id="{A1C285BA-B0C7-0A47-44B1-C2319D48DBCF}"/>
            </a:ext>
          </a:extLst>
        </xdr:cNvPr>
        <xdr:cNvSpPr/>
      </xdr:nvSpPr>
      <xdr:spPr>
        <a:xfrm>
          <a:off x="552450" y="895349"/>
          <a:ext cx="2305050" cy="1038225"/>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0" u="none" strike="noStrike">
              <a:solidFill>
                <a:schemeClr val="bg1">
                  <a:lumMod val="95000"/>
                </a:schemeClr>
              </a:solidFill>
              <a:latin typeface="Calibri"/>
              <a:cs typeface="Calibri"/>
            </a:rPr>
            <a:t>Total Procurement</a:t>
          </a:r>
          <a:r>
            <a:rPr lang="en-US" sz="2000" b="1" i="0" u="none" strike="noStrike" baseline="0">
              <a:solidFill>
                <a:schemeClr val="bg1">
                  <a:lumMod val="95000"/>
                </a:schemeClr>
              </a:solidFill>
              <a:latin typeface="Calibri"/>
              <a:cs typeface="Calibri"/>
            </a:rPr>
            <a:t> spend</a:t>
          </a:r>
        </a:p>
        <a:p>
          <a:pPr algn="ctr"/>
          <a:fld id="{7130F070-FC52-4271-84F1-DA0F2CF50AD1}" type="TxLink">
            <a:rPr lang="en-US" sz="2000" b="1" i="0" u="none" strike="noStrike">
              <a:solidFill>
                <a:schemeClr val="bg1">
                  <a:lumMod val="95000"/>
                </a:schemeClr>
              </a:solidFill>
              <a:latin typeface="Calibri"/>
              <a:cs typeface="Calibri"/>
            </a:rPr>
            <a:pPr algn="ctr"/>
            <a:t>4676713418</a:t>
          </a:fld>
          <a:endParaRPr lang="en-US" sz="2000">
            <a:solidFill>
              <a:schemeClr val="bg1">
                <a:lumMod val="95000"/>
              </a:schemeClr>
            </a:solidFill>
          </a:endParaRPr>
        </a:p>
      </xdr:txBody>
    </xdr:sp>
    <xdr:clientData/>
  </xdr:twoCellAnchor>
  <xdr:twoCellAnchor>
    <xdr:from>
      <xdr:col>4</xdr:col>
      <xdr:colOff>609599</xdr:colOff>
      <xdr:row>4</xdr:row>
      <xdr:rowOff>123826</xdr:rowOff>
    </xdr:from>
    <xdr:to>
      <xdr:col>8</xdr:col>
      <xdr:colOff>600075</xdr:colOff>
      <xdr:row>10</xdr:row>
      <xdr:rowOff>19050</xdr:rowOff>
    </xdr:to>
    <xdr:sp macro="" textlink="Sheet7!C4">
      <xdr:nvSpPr>
        <xdr:cNvPr id="13" name="Rectangle 12">
          <a:extLst>
            <a:ext uri="{FF2B5EF4-FFF2-40B4-BE49-F238E27FC236}">
              <a16:creationId xmlns:a16="http://schemas.microsoft.com/office/drawing/2014/main" id="{564550AA-CD71-474A-8363-B2EBF8D87661}"/>
            </a:ext>
          </a:extLst>
        </xdr:cNvPr>
        <xdr:cNvSpPr/>
      </xdr:nvSpPr>
      <xdr:spPr>
        <a:xfrm>
          <a:off x="3047999" y="885826"/>
          <a:ext cx="2428876" cy="1038224"/>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i="0" u="none" strike="noStrike" baseline="0">
              <a:solidFill>
                <a:schemeClr val="bg1"/>
              </a:solidFill>
              <a:latin typeface="Calibri"/>
              <a:cs typeface="Calibri"/>
            </a:rPr>
            <a:t>Total Budget</a:t>
          </a:r>
        </a:p>
        <a:p>
          <a:pPr algn="ctr"/>
          <a:fld id="{0B7F8AFF-0EE8-488C-A7AA-8FDD44CF5DDE}" type="TxLink">
            <a:rPr lang="en-US" sz="2400" b="1" i="0" u="none" strike="noStrike" baseline="0">
              <a:solidFill>
                <a:schemeClr val="bg1"/>
              </a:solidFill>
              <a:latin typeface="Calibri"/>
              <a:cs typeface="Calibri"/>
            </a:rPr>
            <a:pPr algn="ctr"/>
            <a:t>6410000000</a:t>
          </a:fld>
          <a:endParaRPr lang="en-US" sz="2400" b="1" i="0" u="none" strike="noStrike" baseline="0">
            <a:solidFill>
              <a:schemeClr val="bg1"/>
            </a:solidFill>
            <a:latin typeface="Calibri"/>
            <a:cs typeface="Calibri"/>
          </a:endParaRPr>
        </a:p>
      </xdr:txBody>
    </xdr:sp>
    <xdr:clientData/>
  </xdr:twoCellAnchor>
  <xdr:twoCellAnchor>
    <xdr:from>
      <xdr:col>9</xdr:col>
      <xdr:colOff>238124</xdr:colOff>
      <xdr:row>4</xdr:row>
      <xdr:rowOff>123824</xdr:rowOff>
    </xdr:from>
    <xdr:to>
      <xdr:col>13</xdr:col>
      <xdr:colOff>133349</xdr:colOff>
      <xdr:row>9</xdr:row>
      <xdr:rowOff>171449</xdr:rowOff>
    </xdr:to>
    <xdr:sp macro="" textlink="Sheet7!D8">
      <xdr:nvSpPr>
        <xdr:cNvPr id="14" name="Rectangle 13">
          <a:extLst>
            <a:ext uri="{FF2B5EF4-FFF2-40B4-BE49-F238E27FC236}">
              <a16:creationId xmlns:a16="http://schemas.microsoft.com/office/drawing/2014/main" id="{D8606B2C-CC52-4D89-9CCC-342D67661549}"/>
            </a:ext>
          </a:extLst>
        </xdr:cNvPr>
        <xdr:cNvSpPr/>
      </xdr:nvSpPr>
      <xdr:spPr>
        <a:xfrm>
          <a:off x="5724524" y="885824"/>
          <a:ext cx="2333625" cy="1000125"/>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0" i="0" u="none" strike="noStrike" baseline="0">
              <a:solidFill>
                <a:schemeClr val="bg1"/>
              </a:solidFill>
              <a:latin typeface="Calibri"/>
              <a:cs typeface="Calibri"/>
            </a:rPr>
            <a:t>Budget Utilization</a:t>
          </a:r>
        </a:p>
        <a:p>
          <a:pPr algn="ctr"/>
          <a:fld id="{3A8E7126-3814-4612-97CC-FCEEE42CF160}" type="TxLink">
            <a:rPr lang="en-US" sz="2000" b="0" i="0" u="none" strike="noStrike" baseline="0">
              <a:solidFill>
                <a:schemeClr val="bg1"/>
              </a:solidFill>
              <a:latin typeface="Calibri"/>
              <a:cs typeface="Calibri"/>
            </a:rPr>
            <a:pPr algn="ctr"/>
            <a:t>73%</a:t>
          </a:fld>
          <a:endParaRPr lang="en-US" sz="2000" b="1" i="0" u="none" strike="noStrike" baseline="0">
            <a:solidFill>
              <a:schemeClr val="bg1"/>
            </a:solidFill>
            <a:latin typeface="Calibri"/>
            <a:cs typeface="Calibri"/>
          </a:endParaRPr>
        </a:p>
      </xdr:txBody>
    </xdr:sp>
    <xdr:clientData/>
  </xdr:twoCellAnchor>
  <xdr:twoCellAnchor>
    <xdr:from>
      <xdr:col>13</xdr:col>
      <xdr:colOff>285749</xdr:colOff>
      <xdr:row>4</xdr:row>
      <xdr:rowOff>133351</xdr:rowOff>
    </xdr:from>
    <xdr:to>
      <xdr:col>16</xdr:col>
      <xdr:colOff>533400</xdr:colOff>
      <xdr:row>9</xdr:row>
      <xdr:rowOff>171450</xdr:rowOff>
    </xdr:to>
    <xdr:sp macro="" textlink="Sheet7!I19">
      <xdr:nvSpPr>
        <xdr:cNvPr id="15" name="Rectangle 14">
          <a:extLst>
            <a:ext uri="{FF2B5EF4-FFF2-40B4-BE49-F238E27FC236}">
              <a16:creationId xmlns:a16="http://schemas.microsoft.com/office/drawing/2014/main" id="{5FD35E48-4BBF-414F-ABCD-615292256B3B}"/>
            </a:ext>
          </a:extLst>
        </xdr:cNvPr>
        <xdr:cNvSpPr/>
      </xdr:nvSpPr>
      <xdr:spPr>
        <a:xfrm>
          <a:off x="8210549" y="895351"/>
          <a:ext cx="2076451" cy="990599"/>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6AE561B-3B71-421C-8D53-3A0B2E708868}" type="TxLink">
            <a:rPr lang="en-US" sz="1800" b="0" i="0" u="none" strike="noStrike" baseline="0">
              <a:solidFill>
                <a:schemeClr val="bg1"/>
              </a:solidFill>
              <a:latin typeface="Calibri"/>
              <a:cs typeface="Calibri"/>
            </a:rPr>
            <a:pPr algn="ctr"/>
            <a:t>Total Purchase Order</a:t>
          </a:fld>
          <a:endParaRPr lang="en-US" sz="1800" b="0" i="0" u="none" strike="noStrike" baseline="0">
            <a:solidFill>
              <a:schemeClr val="bg1"/>
            </a:solidFill>
            <a:latin typeface="Calibri"/>
            <a:cs typeface="Calibri"/>
          </a:endParaRPr>
        </a:p>
        <a:p>
          <a:pPr algn="ctr"/>
          <a:r>
            <a:rPr lang="en-US" sz="1800" b="0" i="0" u="none" strike="noStrike" baseline="0">
              <a:solidFill>
                <a:schemeClr val="bg1"/>
              </a:solidFill>
              <a:latin typeface="Calibri"/>
              <a:cs typeface="Calibri"/>
            </a:rPr>
            <a:t>150</a:t>
          </a:r>
        </a:p>
      </xdr:txBody>
    </xdr:sp>
    <xdr:clientData/>
  </xdr:twoCellAnchor>
  <xdr:twoCellAnchor>
    <xdr:from>
      <xdr:col>17</xdr:col>
      <xdr:colOff>28575</xdr:colOff>
      <xdr:row>4</xdr:row>
      <xdr:rowOff>133350</xdr:rowOff>
    </xdr:from>
    <xdr:to>
      <xdr:col>20</xdr:col>
      <xdr:colOff>238126</xdr:colOff>
      <xdr:row>9</xdr:row>
      <xdr:rowOff>133349</xdr:rowOff>
    </xdr:to>
    <xdr:sp macro="" textlink="">
      <xdr:nvSpPr>
        <xdr:cNvPr id="16" name="Rectangle 15">
          <a:extLst>
            <a:ext uri="{FF2B5EF4-FFF2-40B4-BE49-F238E27FC236}">
              <a16:creationId xmlns:a16="http://schemas.microsoft.com/office/drawing/2014/main" id="{8D14617F-5738-47E3-98C8-C3786F4B177F}"/>
            </a:ext>
          </a:extLst>
        </xdr:cNvPr>
        <xdr:cNvSpPr/>
      </xdr:nvSpPr>
      <xdr:spPr>
        <a:xfrm>
          <a:off x="10391775" y="895350"/>
          <a:ext cx="2038351" cy="952499"/>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0" i="0" u="none" strike="noStrike" baseline="0">
              <a:solidFill>
                <a:schemeClr val="bg1"/>
              </a:solidFill>
              <a:latin typeface="Calibri"/>
              <a:cs typeface="Calibri"/>
            </a:rPr>
            <a:t>Average PO Value</a:t>
          </a:r>
        </a:p>
        <a:p>
          <a:pPr algn="ctr"/>
          <a:r>
            <a:rPr lang="en-IN" sz="2000" b="0" i="0" u="none" strike="noStrike">
              <a:solidFill>
                <a:schemeClr val="lt1"/>
              </a:solidFill>
              <a:effectLst/>
              <a:latin typeface="+mn-lt"/>
              <a:ea typeface="+mn-ea"/>
              <a:cs typeface="+mn-cs"/>
            </a:rPr>
            <a:t>31178089</a:t>
          </a:r>
          <a:r>
            <a:rPr lang="en-IN" sz="2000">
              <a:effectLst/>
            </a:rPr>
            <a:t> </a:t>
          </a:r>
          <a:endParaRPr lang="en-US" sz="2000" b="0" i="0" u="none" strike="noStrike" baseline="0">
            <a:solidFill>
              <a:schemeClr val="bg1"/>
            </a:solidFill>
            <a:latin typeface="Calibri"/>
            <a:cs typeface="Calibri"/>
          </a:endParaRPr>
        </a:p>
      </xdr:txBody>
    </xdr:sp>
    <xdr:clientData/>
  </xdr:twoCellAnchor>
  <xdr:twoCellAnchor>
    <xdr:from>
      <xdr:col>1</xdr:col>
      <xdr:colOff>9525</xdr:colOff>
      <xdr:row>11</xdr:row>
      <xdr:rowOff>57150</xdr:rowOff>
    </xdr:from>
    <xdr:to>
      <xdr:col>9</xdr:col>
      <xdr:colOff>161924</xdr:colOff>
      <xdr:row>24</xdr:row>
      <xdr:rowOff>142875</xdr:rowOff>
    </xdr:to>
    <xdr:graphicFrame macro="">
      <xdr:nvGraphicFramePr>
        <xdr:cNvPr id="17" name="Chart 16">
          <a:extLst>
            <a:ext uri="{FF2B5EF4-FFF2-40B4-BE49-F238E27FC236}">
              <a16:creationId xmlns:a16="http://schemas.microsoft.com/office/drawing/2014/main" id="{A0A3910B-1DC2-4896-BBFE-A30FDA4272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352425</xdr:colOff>
      <xdr:row>10</xdr:row>
      <xdr:rowOff>95250</xdr:rowOff>
    </xdr:from>
    <xdr:to>
      <xdr:col>19</xdr:col>
      <xdr:colOff>409575</xdr:colOff>
      <xdr:row>26</xdr:row>
      <xdr:rowOff>28575</xdr:rowOff>
    </xdr:to>
    <xdr:graphicFrame macro="">
      <xdr:nvGraphicFramePr>
        <xdr:cNvPr id="21" name="Chart 20">
          <a:extLst>
            <a:ext uri="{FF2B5EF4-FFF2-40B4-BE49-F238E27FC236}">
              <a16:creationId xmlns:a16="http://schemas.microsoft.com/office/drawing/2014/main" id="{9A018AEA-63C1-48CA-8B55-3A9911CC29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47625</xdr:colOff>
      <xdr:row>12</xdr:row>
      <xdr:rowOff>76200</xdr:rowOff>
    </xdr:from>
    <xdr:to>
      <xdr:col>19</xdr:col>
      <xdr:colOff>266700</xdr:colOff>
      <xdr:row>22</xdr:row>
      <xdr:rowOff>123825</xdr:rowOff>
    </xdr:to>
    <mc:AlternateContent xmlns:mc="http://schemas.openxmlformats.org/markup-compatibility/2006">
      <mc:Choice xmlns:a14="http://schemas.microsoft.com/office/drawing/2010/main" Requires="a14">
        <xdr:graphicFrame macro="">
          <xdr:nvGraphicFramePr>
            <xdr:cNvPr id="22" name="Category">
              <a:extLst>
                <a:ext uri="{FF2B5EF4-FFF2-40B4-BE49-F238E27FC236}">
                  <a16:creationId xmlns:a16="http://schemas.microsoft.com/office/drawing/2014/main" id="{18517E07-6D5C-4EAB-28F6-FD492733A3E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410825" y="2362200"/>
              <a:ext cx="1438275" cy="1952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523875</xdr:colOff>
      <xdr:row>27</xdr:row>
      <xdr:rowOff>0</xdr:rowOff>
    </xdr:from>
    <xdr:to>
      <xdr:col>8</xdr:col>
      <xdr:colOff>200025</xdr:colOff>
      <xdr:row>39</xdr:row>
      <xdr:rowOff>38100</xdr:rowOff>
    </xdr:to>
    <xdr:graphicFrame macro="">
      <xdr:nvGraphicFramePr>
        <xdr:cNvPr id="23" name="Chart 22">
          <a:extLst>
            <a:ext uri="{FF2B5EF4-FFF2-40B4-BE49-F238E27FC236}">
              <a16:creationId xmlns:a16="http://schemas.microsoft.com/office/drawing/2014/main" id="{5C5B0C43-68B1-471F-BB8D-3BD1683795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381001</xdr:colOff>
      <xdr:row>27</xdr:row>
      <xdr:rowOff>28576</xdr:rowOff>
    </xdr:from>
    <xdr:to>
      <xdr:col>20</xdr:col>
      <xdr:colOff>133351</xdr:colOff>
      <xdr:row>39</xdr:row>
      <xdr:rowOff>9526</xdr:rowOff>
    </xdr:to>
    <xdr:graphicFrame macro="">
      <xdr:nvGraphicFramePr>
        <xdr:cNvPr id="24" name="Chart 23">
          <a:extLst>
            <a:ext uri="{FF2B5EF4-FFF2-40B4-BE49-F238E27FC236}">
              <a16:creationId xmlns:a16="http://schemas.microsoft.com/office/drawing/2014/main" id="{1C680270-4E41-4A4D-9991-27D3888225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361951</xdr:colOff>
      <xdr:row>27</xdr:row>
      <xdr:rowOff>19051</xdr:rowOff>
    </xdr:from>
    <xdr:to>
      <xdr:col>14</xdr:col>
      <xdr:colOff>314325</xdr:colOff>
      <xdr:row>39</xdr:row>
      <xdr:rowOff>1</xdr:rowOff>
    </xdr:to>
    <xdr:graphicFrame macro="">
      <xdr:nvGraphicFramePr>
        <xdr:cNvPr id="25" name="Chart 24">
          <a:extLst>
            <a:ext uri="{FF2B5EF4-FFF2-40B4-BE49-F238E27FC236}">
              <a16:creationId xmlns:a16="http://schemas.microsoft.com/office/drawing/2014/main" id="{EB32C025-7160-4026-AA97-5C956DA209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505408</xdr:colOff>
      <xdr:row>1</xdr:row>
      <xdr:rowOff>2381</xdr:rowOff>
    </xdr:from>
    <xdr:to>
      <xdr:col>9</xdr:col>
      <xdr:colOff>592756</xdr:colOff>
      <xdr:row>13</xdr:row>
      <xdr:rowOff>167283</xdr:rowOff>
    </xdr:to>
    <xdr:graphicFrame macro="">
      <xdr:nvGraphicFramePr>
        <xdr:cNvPr id="2" name="Chart 1">
          <a:extLst>
            <a:ext uri="{FF2B5EF4-FFF2-40B4-BE49-F238E27FC236}">
              <a16:creationId xmlns:a16="http://schemas.microsoft.com/office/drawing/2014/main" id="{9E258297-5725-4D04-9BC9-38A86C558D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12634</xdr:colOff>
      <xdr:row>15</xdr:row>
      <xdr:rowOff>68035</xdr:rowOff>
    </xdr:from>
    <xdr:to>
      <xdr:col>8</xdr:col>
      <xdr:colOff>223546</xdr:colOff>
      <xdr:row>29</xdr:row>
      <xdr:rowOff>9719</xdr:rowOff>
    </xdr:to>
    <xdr:graphicFrame macro="">
      <xdr:nvGraphicFramePr>
        <xdr:cNvPr id="3" name="Chart 2">
          <a:extLst>
            <a:ext uri="{FF2B5EF4-FFF2-40B4-BE49-F238E27FC236}">
              <a16:creationId xmlns:a16="http://schemas.microsoft.com/office/drawing/2014/main" id="{C125E4C2-656C-BD6F-B4E8-89E07CD10C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990600</xdr:colOff>
      <xdr:row>12</xdr:row>
      <xdr:rowOff>123824</xdr:rowOff>
    </xdr:from>
    <xdr:to>
      <xdr:col>8</xdr:col>
      <xdr:colOff>95250</xdr:colOff>
      <xdr:row>31</xdr:row>
      <xdr:rowOff>171449</xdr:rowOff>
    </xdr:to>
    <xdr:graphicFrame macro="">
      <xdr:nvGraphicFramePr>
        <xdr:cNvPr id="2" name="Chart 1">
          <a:extLst>
            <a:ext uri="{FF2B5EF4-FFF2-40B4-BE49-F238E27FC236}">
              <a16:creationId xmlns:a16="http://schemas.microsoft.com/office/drawing/2014/main" id="{02ED5439-199B-BCEE-CF41-728677952E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19049</xdr:colOff>
      <xdr:row>12</xdr:row>
      <xdr:rowOff>19049</xdr:rowOff>
    </xdr:from>
    <xdr:to>
      <xdr:col>7</xdr:col>
      <xdr:colOff>733424</xdr:colOff>
      <xdr:row>26</xdr:row>
      <xdr:rowOff>142874</xdr:rowOff>
    </xdr:to>
    <xdr:graphicFrame macro="">
      <xdr:nvGraphicFramePr>
        <xdr:cNvPr id="2" name="Chart 1">
          <a:extLst>
            <a:ext uri="{FF2B5EF4-FFF2-40B4-BE49-F238E27FC236}">
              <a16:creationId xmlns:a16="http://schemas.microsoft.com/office/drawing/2014/main" id="{A7F41038-9132-9D39-4840-D4782CAB02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466725</xdr:colOff>
      <xdr:row>7</xdr:row>
      <xdr:rowOff>9524</xdr:rowOff>
    </xdr:from>
    <xdr:to>
      <xdr:col>6</xdr:col>
      <xdr:colOff>1171575</xdr:colOff>
      <xdr:row>21</xdr:row>
      <xdr:rowOff>114299</xdr:rowOff>
    </xdr:to>
    <xdr:graphicFrame macro="">
      <xdr:nvGraphicFramePr>
        <xdr:cNvPr id="2" name="Chart 1">
          <a:extLst>
            <a:ext uri="{FF2B5EF4-FFF2-40B4-BE49-F238E27FC236}">
              <a16:creationId xmlns:a16="http://schemas.microsoft.com/office/drawing/2014/main" id="{F292A6EF-B1AD-A177-ACA5-2CE302194A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19049</xdr:colOff>
      <xdr:row>14</xdr:row>
      <xdr:rowOff>95250</xdr:rowOff>
    </xdr:from>
    <xdr:to>
      <xdr:col>8</xdr:col>
      <xdr:colOff>495299</xdr:colOff>
      <xdr:row>28</xdr:row>
      <xdr:rowOff>171450</xdr:rowOff>
    </xdr:to>
    <xdr:graphicFrame macro="">
      <xdr:nvGraphicFramePr>
        <xdr:cNvPr id="2" name="Chart 1">
          <a:extLst>
            <a:ext uri="{FF2B5EF4-FFF2-40B4-BE49-F238E27FC236}">
              <a16:creationId xmlns:a16="http://schemas.microsoft.com/office/drawing/2014/main" id="{5AAEFE7C-4536-27A4-3462-46C2A9F680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priyo Mondal" refreshedDate="46199.706733101855" createdVersion="8" refreshedVersion="8" minRefreshableVersion="3" recordCount="151" xr:uid="{7E285213-57AC-42BD-A828-5657B3D31128}">
  <cacheSource type="worksheet">
    <worksheetSource name="Purchase"/>
  </cacheSource>
  <cacheFields count="18">
    <cacheField name="PO_ID" numFmtId="0">
      <sharedItems containsBlank="1"/>
    </cacheField>
    <cacheField name="PO_Date" numFmtId="14">
      <sharedItems containsNonDate="0" containsDate="1" containsString="0" containsBlank="1" minDate="2025-01-01T00:00:00" maxDate="2025-07-01T00:00:00" count="101">
        <d v="2025-05-18T00:00:00"/>
        <d v="2025-04-22T00:00:00"/>
        <d v="2025-05-25T00:00:00"/>
        <d v="2025-02-26T00:00:00"/>
        <d v="2025-01-31T00:00:00"/>
        <d v="2025-02-18T00:00:00"/>
        <d v="2025-05-08T00:00:00"/>
        <d v="2025-04-27T00:00:00"/>
        <d v="2025-01-21T00:00:00"/>
        <d v="2025-06-05T00:00:00"/>
        <d v="2025-05-06T00:00:00"/>
        <d v="2025-03-22T00:00:00"/>
        <d v="2025-01-16T00:00:00"/>
        <d v="2025-04-25T00:00:00"/>
        <d v="2025-04-29T00:00:00"/>
        <d v="2025-03-15T00:00:00"/>
        <d v="2025-02-05T00:00:00"/>
        <d v="2025-06-24T00:00:00"/>
        <d v="2025-06-18T00:00:00"/>
        <d v="2025-01-02T00:00:00"/>
        <d v="2025-02-02T00:00:00"/>
        <d v="2025-06-12T00:00:00"/>
        <d v="2025-01-29T00:00:00"/>
        <d v="2025-04-07T00:00:00"/>
        <d v="2025-02-01T00:00:00"/>
        <d v="2025-02-06T00:00:00"/>
        <d v="2025-06-27T00:00:00"/>
        <d v="2025-04-03T00:00:00"/>
        <d v="2025-01-24T00:00:00"/>
        <d v="2025-05-17T00:00:00"/>
        <d v="2025-02-19T00:00:00"/>
        <d v="2025-01-08T00:00:00"/>
        <d v="2025-03-30T00:00:00"/>
        <d v="2025-02-28T00:00:00"/>
        <d v="2025-06-06T00:00:00"/>
        <d v="2025-01-22T00:00:00"/>
        <d v="2025-04-30T00:00:00"/>
        <d v="2025-05-21T00:00:00"/>
        <d v="2025-06-16T00:00:00"/>
        <d v="2025-02-24T00:00:00"/>
        <d v="2025-05-31T00:00:00"/>
        <d v="2025-04-01T00:00:00"/>
        <d v="2025-05-15T00:00:00"/>
        <d v="2025-02-08T00:00:00"/>
        <d v="2025-03-05T00:00:00"/>
        <d v="2025-02-21T00:00:00"/>
        <d v="2025-05-10T00:00:00"/>
        <d v="2025-06-21T00:00:00"/>
        <d v="2025-06-20T00:00:00"/>
        <d v="2025-02-20T00:00:00"/>
        <d v="2025-05-22T00:00:00"/>
        <d v="2025-03-17T00:00:00"/>
        <d v="2025-03-09T00:00:00"/>
        <d v="2025-04-19T00:00:00"/>
        <d v="2025-05-27T00:00:00"/>
        <d v="2025-06-26T00:00:00"/>
        <d v="2025-01-23T00:00:00"/>
        <d v="2025-03-06T00:00:00"/>
        <d v="2025-06-30T00:00:00"/>
        <d v="2025-02-03T00:00:00"/>
        <d v="2025-01-12T00:00:00"/>
        <d v="2025-04-04T00:00:00"/>
        <d v="2025-03-21T00:00:00"/>
        <d v="2025-05-02T00:00:00"/>
        <d v="2025-01-06T00:00:00"/>
        <d v="2025-02-09T00:00:00"/>
        <d v="2025-05-12T00:00:00"/>
        <d v="2025-01-05T00:00:00"/>
        <d v="2025-06-13T00:00:00"/>
        <d v="2025-01-18T00:00:00"/>
        <d v="2025-03-01T00:00:00"/>
        <d v="2025-05-03T00:00:00"/>
        <d v="2025-01-20T00:00:00"/>
        <d v="2025-03-19T00:00:00"/>
        <d v="2025-03-10T00:00:00"/>
        <d v="2025-05-13T00:00:00"/>
        <d v="2025-02-23T00:00:00"/>
        <d v="2025-04-12T00:00:00"/>
        <d v="2025-01-17T00:00:00"/>
        <d v="2025-03-12T00:00:00"/>
        <d v="2025-04-06T00:00:00"/>
        <d v="2025-06-14T00:00:00"/>
        <d v="2025-04-17T00:00:00"/>
        <d v="2025-06-17T00:00:00"/>
        <d v="2025-04-11T00:00:00"/>
        <d v="2025-04-09T00:00:00"/>
        <d v="2025-05-16T00:00:00"/>
        <d v="2025-05-14T00:00:00"/>
        <d v="2025-01-01T00:00:00"/>
        <d v="2025-01-19T00:00:00"/>
        <d v="2025-06-03T00:00:00"/>
        <d v="2025-06-15T00:00:00"/>
        <d v="2025-04-16T00:00:00"/>
        <d v="2025-06-22T00:00:00"/>
        <d v="2025-04-05T00:00:00"/>
        <d v="2025-01-28T00:00:00"/>
        <d v="2025-06-02T00:00:00"/>
        <d v="2025-04-26T00:00:00"/>
        <d v="2025-03-13T00:00:00"/>
        <d v="2025-04-14T00:00:00"/>
        <m/>
      </sharedItems>
      <fieldGroup par="16"/>
    </cacheField>
    <cacheField name="BU" numFmtId="0">
      <sharedItems containsBlank="1" count="7">
        <s v="Airports"/>
        <s v="Solar"/>
        <s v="Mining"/>
        <s v="Energy"/>
        <s v="Data Centers"/>
        <s v="Logistics"/>
        <m/>
      </sharedItems>
    </cacheField>
    <cacheField name="Category" numFmtId="0">
      <sharedItems containsBlank="1" count="7">
        <s v="Airports"/>
        <s v="Solar"/>
        <s v="Mining"/>
        <s v="Energy"/>
        <s v="Data Centers"/>
        <s v="Logistics"/>
        <m/>
      </sharedItems>
    </cacheField>
    <cacheField name="Material" numFmtId="0">
      <sharedItems containsBlank="1" count="13">
        <s v="Security Scanner"/>
        <s v="Solar Module"/>
        <s v="Excavator Parts"/>
        <s v="Turbine Part"/>
        <s v="Transformer"/>
        <s v="HVAC"/>
        <s v="Inverter"/>
        <s v="Cooling Unit"/>
        <s v="Server Rack"/>
        <s v="Conveyor Belt"/>
        <s v="Diesel Pump"/>
        <s v="Truck Tyre"/>
        <m/>
      </sharedItems>
    </cacheField>
    <cacheField name="Supplier_ID" numFmtId="0">
      <sharedItems containsBlank="1" count="7">
        <s v="SUP004"/>
        <s v="SUP005"/>
        <s v="SUP001"/>
        <s v="SUP003"/>
        <s v="SUP002"/>
        <s v="SUP006"/>
        <m/>
      </sharedItems>
    </cacheField>
    <cacheField name="Country" numFmtId="0">
      <sharedItems containsBlank="1"/>
    </cacheField>
    <cacheField name="Qty" numFmtId="0">
      <sharedItems containsString="0" containsBlank="1" containsNumber="1" containsInteger="1" minValue="10" maxValue="498"/>
    </cacheField>
    <cacheField name="Unit_Price_INR" numFmtId="1">
      <sharedItems containsString="0" containsBlank="1" containsNumber="1" minValue="5703.33" maxValue="248308.51"/>
    </cacheField>
    <cacheField name="Total spend" numFmtId="1">
      <sharedItems containsString="0" containsBlank="1" containsNumber="1" minValue="370716.45" maxValue="118169584.48"/>
    </cacheField>
    <cacheField name="Status" numFmtId="0">
      <sharedItems containsBlank="1" count="4">
        <s v="Open"/>
        <s v="Closed"/>
        <s v="In Transit"/>
        <m/>
      </sharedItems>
    </cacheField>
    <cacheField name="Invoice_Date" numFmtId="0">
      <sharedItems containsNonDate="0" containsDate="1" containsString="0" containsBlank="1" minDate="2025-01-06T00:00:00" maxDate="2025-07-30T00:00:00"/>
    </cacheField>
    <cacheField name="Invoice_Amount_INR" numFmtId="0">
      <sharedItems containsString="0" containsBlank="1" containsNumber="1" minValue="230513.12" maxValue="49830862.869999997"/>
    </cacheField>
    <cacheField name="Payment_Status" numFmtId="0">
      <sharedItems containsBlank="1"/>
    </cacheField>
    <cacheField name="Supplier_Name" numFmtId="0">
      <sharedItems containsBlank="1" count="7">
        <s v="Hitachi"/>
        <s v="Schneider Electric"/>
        <s v="Siemens India"/>
        <s v="BHP Supplies"/>
        <s v="Shanghai Solar Tech"/>
        <s v="DP World Industrial"/>
        <m/>
      </sharedItems>
    </cacheField>
    <cacheField name="Days (PO_Date)" numFmtId="0" databaseField="0">
      <fieldGroup base="1">
        <rangePr groupBy="days" startDate="2025-01-01T00:00:00" endDate="2025-07-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5"/>
        </groupItems>
      </fieldGroup>
    </cacheField>
    <cacheField name="Months (PO_Date)" numFmtId="0" databaseField="0">
      <fieldGroup base="1">
        <rangePr groupBy="months" startDate="2025-01-01T00:00:00" endDate="2025-07-01T00:00:00"/>
        <groupItems count="14">
          <s v="&lt;01-01-2025"/>
          <s v="Jan"/>
          <s v="Feb"/>
          <s v="Mar"/>
          <s v="Apr"/>
          <s v="May"/>
          <s v="Jun"/>
          <s v="Jul"/>
          <s v="Aug"/>
          <s v="Sep"/>
          <s v="Oct"/>
          <s v="Nov"/>
          <s v="Dec"/>
          <s v="&gt;01-07-2025"/>
        </groupItems>
      </fieldGroup>
    </cacheField>
    <cacheField name="Average PO value" numFmtId="0" formula="'Total spend'/150" databaseField="0"/>
  </cacheFields>
  <extLst>
    <ext xmlns:x14="http://schemas.microsoft.com/office/spreadsheetml/2009/9/main" uri="{725AE2AE-9491-48be-B2B4-4EB974FC3084}">
      <x14:pivotCacheDefinition pivotCacheId="136269421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priyo Mondal" refreshedDate="46199.712000810185" createdVersion="8" refreshedVersion="8" minRefreshableVersion="3" recordCount="150" xr:uid="{998E1715-27B0-4F55-9EAF-A3661A3313C1}">
  <cacheSource type="worksheet">
    <worksheetSource ref="B1:N151" sheet="Purchase_Orders"/>
  </cacheSource>
  <cacheFields count="14">
    <cacheField name="PO_Date" numFmtId="14">
      <sharedItems containsSemiMixedTypes="0" containsNonDate="0" containsDate="1" containsString="0" minDate="2025-01-01T00:00:00" maxDate="2025-07-01T00:00:00"/>
    </cacheField>
    <cacheField name="BU" numFmtId="0">
      <sharedItems count="6">
        <s v="Airports"/>
        <s v="Solar"/>
        <s v="Mining"/>
        <s v="Energy"/>
        <s v="Data Centers"/>
        <s v="Logistics"/>
      </sharedItems>
    </cacheField>
    <cacheField name="Category" numFmtId="0">
      <sharedItems count="6">
        <s v="Airports"/>
        <s v="Solar"/>
        <s v="Mining"/>
        <s v="Energy"/>
        <s v="Data Centers"/>
        <s v="Logistics"/>
      </sharedItems>
    </cacheField>
    <cacheField name="Material" numFmtId="0">
      <sharedItems count="12">
        <s v="Security Scanner"/>
        <s v="Solar Module"/>
        <s v="Excavator Parts"/>
        <s v="Turbine Part"/>
        <s v="Transformer"/>
        <s v="HVAC"/>
        <s v="Inverter"/>
        <s v="Cooling Unit"/>
        <s v="Server Rack"/>
        <s v="Conveyor Belt"/>
        <s v="Diesel Pump"/>
        <s v="Truck Tyre"/>
      </sharedItems>
    </cacheField>
    <cacheField name="Supplier_ID" numFmtId="0">
      <sharedItems count="6">
        <s v="SUP004"/>
        <s v="SUP005"/>
        <s v="SUP001"/>
        <s v="SUP003"/>
        <s v="SUP002"/>
        <s v="SUP006"/>
      </sharedItems>
    </cacheField>
    <cacheField name="Country" numFmtId="0">
      <sharedItems count="6">
        <s v="Japan"/>
        <s v="France"/>
        <s v="India"/>
        <s v="Australia"/>
        <s v="China"/>
        <s v="UAE"/>
      </sharedItems>
    </cacheField>
    <cacheField name="Qty" numFmtId="0">
      <sharedItems containsSemiMixedTypes="0" containsString="0" containsNumber="1" containsInteger="1" minValue="10" maxValue="498"/>
    </cacheField>
    <cacheField name="Unit_Price_INR" numFmtId="1">
      <sharedItems containsSemiMixedTypes="0" containsString="0" containsNumber="1" minValue="5703.33" maxValue="248308.51"/>
    </cacheField>
    <cacheField name="Total spend" numFmtId="1">
      <sharedItems containsSemiMixedTypes="0" containsString="0" containsNumber="1" minValue="370716.45" maxValue="118169584.48"/>
    </cacheField>
    <cacheField name="Status" numFmtId="0">
      <sharedItems/>
    </cacheField>
    <cacheField name="Invoice_Date" numFmtId="14">
      <sharedItems containsSemiMixedTypes="0" containsNonDate="0" containsDate="1" containsString="0" minDate="2025-01-06T00:00:00" maxDate="2025-07-30T00:00:00"/>
    </cacheField>
    <cacheField name="Invoice_Amount_INR" numFmtId="1">
      <sharedItems containsSemiMixedTypes="0" containsString="0" containsNumber="1" minValue="230513.12" maxValue="49830862.869999997"/>
    </cacheField>
    <cacheField name="Payment_Status" numFmtId="0">
      <sharedItems/>
    </cacheField>
    <cacheField name="Supplier_Name" numFmtId="0">
      <sharedItems count="6">
        <s v="Hitachi"/>
        <s v="Schneider Electric"/>
        <s v="Siemens India"/>
        <s v="BHP Supplies"/>
        <s v="Shanghai Solar Tech"/>
        <s v="DP World Industrial"/>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priyo Mondal" refreshedDate="46199.816784953706" createdVersion="8" refreshedVersion="8" minRefreshableVersion="3" recordCount="150" xr:uid="{D5B5C1EE-DBCC-44EB-BB2F-6096E29D6E71}">
  <cacheSource type="worksheet">
    <worksheetSource name="Invoice"/>
  </cacheSource>
  <cacheFields count="7">
    <cacheField name="Invoice_ID" numFmtId="0">
      <sharedItems/>
    </cacheField>
    <cacheField name="PO_ID" numFmtId="0">
      <sharedItems/>
    </cacheField>
    <cacheField name="Invoice_Date" numFmtId="14">
      <sharedItems containsSemiMixedTypes="0" containsNonDate="0" containsDate="1" containsString="0" minDate="2025-01-06T00:00:00" maxDate="2025-07-30T00:00:00" count="110">
        <d v="2025-07-23T00:00:00"/>
        <d v="2025-04-26T00:00:00"/>
        <d v="2025-05-13T00:00:00"/>
        <d v="2025-03-24T00:00:00"/>
        <d v="2025-06-10T00:00:00"/>
        <d v="2025-05-03T00:00:00"/>
        <d v="2025-01-26T00:00:00"/>
        <d v="2025-07-17T00:00:00"/>
        <d v="2025-01-22T00:00:00"/>
        <d v="2025-05-27T00:00:00"/>
        <d v="2025-04-25T00:00:00"/>
        <d v="2025-03-14T00:00:00"/>
        <d v="2025-01-30T00:00:00"/>
        <d v="2025-04-30T00:00:00"/>
        <d v="2025-04-22T00:00:00"/>
        <d v="2025-03-07T00:00:00"/>
        <d v="2025-07-19T00:00:00"/>
        <d v="2025-03-22T00:00:00"/>
        <d v="2025-04-11T00:00:00"/>
        <d v="2025-02-25T00:00:00"/>
        <d v="2025-03-09T00:00:00"/>
        <d v="2025-06-03T00:00:00"/>
        <d v="2025-04-17T00:00:00"/>
        <d v="2025-05-15T00:00:00"/>
        <d v="2025-01-31T00:00:00"/>
        <d v="2025-02-01T00:00:00"/>
        <d v="2025-02-23T00:00:00"/>
        <d v="2025-02-24T00:00:00"/>
        <d v="2025-05-17T00:00:00"/>
        <d v="2025-06-09T00:00:00"/>
        <d v="2025-01-07T00:00:00"/>
        <d v="2025-07-06T00:00:00"/>
        <d v="2025-01-15T00:00:00"/>
        <d v="2025-01-17T00:00:00"/>
        <d v="2025-02-27T00:00:00"/>
        <d v="2025-04-20T00:00:00"/>
        <d v="2025-06-13T00:00:00"/>
        <d v="2025-01-14T00:00:00"/>
        <d v="2025-05-09T00:00:00"/>
        <d v="2025-07-28T00:00:00"/>
        <d v="2025-02-14T00:00:00"/>
        <d v="2025-06-22T00:00:00"/>
        <d v="2025-03-16T00:00:00"/>
        <d v="2025-06-25T00:00:00"/>
        <d v="2025-03-26T00:00:00"/>
        <d v="2025-06-19T00:00:00"/>
        <d v="2025-04-19T00:00:00"/>
        <d v="2025-04-27T00:00:00"/>
        <d v="2025-02-04T00:00:00"/>
        <d v="2025-06-02T00:00:00"/>
        <d v="2025-07-22T00:00:00"/>
        <d v="2025-01-19T00:00:00"/>
        <d v="2025-04-10T00:00:00"/>
        <d v="2025-02-12T00:00:00"/>
        <d v="2025-05-19T00:00:00"/>
        <d v="2025-02-02T00:00:00"/>
        <d v="2025-06-17T00:00:00"/>
        <d v="2025-06-18T00:00:00"/>
        <d v="2025-05-07T00:00:00"/>
        <d v="2025-01-16T00:00:00"/>
        <d v="2025-02-15T00:00:00"/>
        <d v="2025-02-13T00:00:00"/>
        <d v="2025-07-18T00:00:00"/>
        <d v="2025-03-29T00:00:00"/>
        <d v="2025-05-02T00:00:00"/>
        <d v="2025-07-24T00:00:00"/>
        <d v="2025-03-25T00:00:00"/>
        <d v="2025-04-15T00:00:00"/>
        <d v="2025-05-14T00:00:00"/>
        <d v="2025-01-06T00:00:00"/>
        <d v="2025-05-05T00:00:00"/>
        <d v="2025-02-07T00:00:00"/>
        <d v="2025-01-29T00:00:00"/>
        <d v="2025-05-16T00:00:00"/>
        <d v="2025-03-27T00:00:00"/>
        <d v="2025-04-12T00:00:00"/>
        <d v="2025-01-12T00:00:00"/>
        <d v="2025-07-12T00:00:00"/>
        <d v="2025-03-20T00:00:00"/>
        <d v="2025-06-30T00:00:00"/>
        <d v="2025-06-12T00:00:00"/>
        <d v="2025-02-11T00:00:00"/>
        <d v="2025-02-28T00:00:00"/>
        <d v="2025-02-16T00:00:00"/>
        <d v="2025-06-28T00:00:00"/>
        <d v="2025-02-18T00:00:00"/>
        <d v="2025-05-28T00:00:00"/>
        <d v="2025-06-16T00:00:00"/>
        <d v="2025-07-29T00:00:00"/>
        <d v="2025-03-31T00:00:00"/>
        <d v="2025-03-05T00:00:00"/>
        <d v="2025-01-18T00:00:00"/>
        <d v="2025-03-11T00:00:00"/>
        <d v="2025-06-24T00:00:00"/>
        <d v="2025-06-11T00:00:00"/>
        <d v="2025-05-22T00:00:00"/>
        <d v="2025-04-09T00:00:00"/>
        <d v="2025-07-25T00:00:00"/>
        <d v="2025-01-08T00:00:00"/>
        <d v="2025-04-05T00:00:00"/>
        <d v="2025-04-29T00:00:00"/>
        <d v="2025-01-09T00:00:00"/>
        <d v="2025-05-18T00:00:00"/>
        <d v="2025-06-20T00:00:00"/>
        <d v="2025-02-19T00:00:00"/>
        <d v="2025-03-23T00:00:00"/>
        <d v="2025-07-15T00:00:00"/>
        <d v="2025-07-14T00:00:00"/>
        <d v="2025-03-04T00:00:00"/>
        <d v="2025-03-06T00:00:00"/>
      </sharedItems>
      <fieldGroup par="6"/>
    </cacheField>
    <cacheField name="Invoice_Amount_INR" numFmtId="1">
      <sharedItems containsSemiMixedTypes="0" containsString="0" containsNumber="1" minValue="230513.12" maxValue="49830862.869999997" count="150">
        <n v="19387087.960000001"/>
        <n v="40758532.539999999"/>
        <n v="9228667.6500000004"/>
        <n v="41155487.100000001"/>
        <n v="11883511.310000001"/>
        <n v="18156736.199999999"/>
        <n v="25643050.530000001"/>
        <n v="8080875.4400000004"/>
        <n v="32512345.280000001"/>
        <n v="27276369.32"/>
        <n v="44185383.859999999"/>
        <n v="31267618.510000002"/>
        <n v="21110907.739999998"/>
        <n v="8742273.9199999999"/>
        <n v="23100095.91"/>
        <n v="37424054.530000001"/>
        <n v="6146120.4000000004"/>
        <n v="14041905.84"/>
        <n v="12777419.539999999"/>
        <n v="22025948.300000001"/>
        <n v="11851650.1"/>
        <n v="9493681.6999999993"/>
        <n v="12657521.91"/>
        <n v="26362806.469999999"/>
        <n v="32700994.949999999"/>
        <n v="324155.8"/>
        <n v="45727340.140000001"/>
        <n v="11721344.640000001"/>
        <n v="30064616.25"/>
        <n v="46515670.020000003"/>
        <n v="43319753.689999998"/>
        <n v="13071416.289999999"/>
        <n v="5378425.1100000003"/>
        <n v="31035404.199999999"/>
        <n v="18498556.82"/>
        <n v="10278424.23"/>
        <n v="30011226.129999999"/>
        <n v="40755711.630000003"/>
        <n v="33948155.030000001"/>
        <n v="15678567.119999999"/>
        <n v="39784530.289999999"/>
        <n v="3257226.82"/>
        <n v="19825305.960000001"/>
        <n v="31995179.09"/>
        <n v="8268096.9800000004"/>
        <n v="20548467.18"/>
        <n v="15449028.560000001"/>
        <n v="37292344.490000002"/>
        <n v="20880624.57"/>
        <n v="9940359.3499999996"/>
        <n v="10262991.83"/>
        <n v="45091366.020000003"/>
        <n v="41036392.200000003"/>
        <n v="44153613.530000001"/>
        <n v="8210974.5099999998"/>
        <n v="27622238.02"/>
        <n v="4542652.49"/>
        <n v="36888722.030000001"/>
        <n v="17462452.489999998"/>
        <n v="8672086.5700000003"/>
        <n v="19248364.100000001"/>
        <n v="6419852.6900000004"/>
        <n v="15794845.890000001"/>
        <n v="19455969.600000001"/>
        <n v="34442006.630000003"/>
        <n v="39312696.030000001"/>
        <n v="20283779.16"/>
        <n v="9229980.6300000008"/>
        <n v="20047304.600000001"/>
        <n v="19240461.039999999"/>
        <n v="12428239.01"/>
        <n v="2150841.77"/>
        <n v="33645446.909999996"/>
        <n v="5974777.6600000001"/>
        <n v="27547586.670000002"/>
        <n v="15380085.77"/>
        <n v="29172970.57"/>
        <n v="32976251.129999999"/>
        <n v="21973794.420000002"/>
        <n v="30982704.800000001"/>
        <n v="11839021.08"/>
        <n v="40966614.810000002"/>
        <n v="20077083.07"/>
        <n v="17992896.07"/>
        <n v="40133871.869999997"/>
        <n v="32889079.190000001"/>
        <n v="6600521.2000000002"/>
        <n v="38904040.710000001"/>
        <n v="2807820.06"/>
        <n v="32672008.25"/>
        <n v="42867798.549999997"/>
        <n v="34658222.43"/>
        <n v="6667712.2000000002"/>
        <n v="47836300.490000002"/>
        <n v="39440237.960000001"/>
        <n v="41668500.520000003"/>
        <n v="12685816.220000001"/>
        <n v="13822130.34"/>
        <n v="12782653.800000001"/>
        <n v="29635199.550000001"/>
        <n v="11946218.99"/>
        <n v="10027213.210000001"/>
        <n v="31864931.789999999"/>
        <n v="16458434.119999999"/>
        <n v="39626995.490000002"/>
        <n v="38436459.829999998"/>
        <n v="42928619.539999999"/>
        <n v="26120480.41"/>
        <n v="12676376.560000001"/>
        <n v="42844309.359999999"/>
        <n v="18636164.449999999"/>
        <n v="28910289.539999999"/>
        <n v="38255495.68"/>
        <n v="8920127.3300000001"/>
        <n v="14889531.75"/>
        <n v="15572614.84"/>
        <n v="44796576.710000001"/>
        <n v="37381277.25"/>
        <n v="14619483.789999999"/>
        <n v="20942579.57"/>
        <n v="6687962.3399999999"/>
        <n v="32690110.449999999"/>
        <n v="230513.12"/>
        <n v="5407496.3499999996"/>
        <n v="11290522.220000001"/>
        <n v="29495671.210000001"/>
        <n v="31234084.989999998"/>
        <n v="6823960"/>
        <n v="7550722.7300000004"/>
        <n v="31946683.82"/>
        <n v="13561031.1"/>
        <n v="2900915.1"/>
        <n v="29776740.829999998"/>
        <n v="30133885.170000002"/>
        <n v="24693297.91"/>
        <n v="2295698.91"/>
        <n v="20358837.350000001"/>
        <n v="3013121.09"/>
        <n v="30670715.43"/>
        <n v="7199100.5899999999"/>
        <n v="30443340.190000001"/>
        <n v="32114341.390000001"/>
        <n v="25477943.170000002"/>
        <n v="31335594.359999999"/>
        <n v="23948470.91"/>
        <n v="18820421.170000002"/>
        <n v="45621759.840000004"/>
        <n v="32811009.91"/>
        <n v="49830862.869999997"/>
        <n v="32236585.68"/>
      </sharedItems>
    </cacheField>
    <cacheField name="Payment_Status" numFmtId="0">
      <sharedItems count="3">
        <s v="Pending"/>
        <s v="Paid"/>
        <s v="Overdue"/>
      </sharedItems>
    </cacheField>
    <cacheField name="Days (Invoice_Date)" numFmtId="0" databaseField="0">
      <fieldGroup base="2">
        <rangePr groupBy="days" startDate="2025-01-06T00:00:00" endDate="2025-07-30T00:00:00"/>
        <groupItems count="368">
          <s v="&lt;06-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7-2025"/>
        </groupItems>
      </fieldGroup>
    </cacheField>
    <cacheField name="Months (Invoice_Date)" numFmtId="0" databaseField="0">
      <fieldGroup base="2">
        <rangePr groupBy="months" startDate="2025-01-06T00:00:00" endDate="2025-07-30T00:00:00"/>
        <groupItems count="14">
          <s v="&lt;06-01-2025"/>
          <s v="Jan"/>
          <s v="Feb"/>
          <s v="Mar"/>
          <s v="Apr"/>
          <s v="May"/>
          <s v="Jun"/>
          <s v="Jul"/>
          <s v="Aug"/>
          <s v="Sep"/>
          <s v="Oct"/>
          <s v="Nov"/>
          <s v="Dec"/>
          <s v="&gt;30-07-2025"/>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priyo Mondal" refreshedDate="46199.843095717595" createdVersion="8" refreshedVersion="8" minRefreshableVersion="3" recordCount="36" xr:uid="{C2DFF494-1C90-4117-91A2-F8475304F601}">
  <cacheSource type="worksheet">
    <worksheetSource name="Budget"/>
  </cacheSource>
  <cacheFields count="3">
    <cacheField name="Business_Unit" numFmtId="0">
      <sharedItems count="6">
        <s v="Solar"/>
        <s v="Mining"/>
        <s v="Airports"/>
        <s v="Logistics"/>
        <s v="Energy"/>
        <s v="Data Centers"/>
      </sharedItems>
    </cacheField>
    <cacheField name="Month" numFmtId="0">
      <sharedItems count="6">
        <s v="Jan"/>
        <s v="Feb"/>
        <s v="Mar"/>
        <s v="Apr"/>
        <s v="May"/>
        <s v="Jun"/>
      </sharedItems>
    </cacheField>
    <cacheField name="Budget_INR" numFmtId="0">
      <sharedItems containsSemiMixedTypes="0" containsString="0" containsNumber="1" containsInteger="1" minValue="50000000" maxValue="30000000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priyo Mondal" refreshedDate="46199.952268518522" createdVersion="8" refreshedVersion="8" minRefreshableVersion="3" recordCount="150" xr:uid="{F56C5CC1-476C-4F80-9ABC-A1BD11572FD2}">
  <cacheSource type="worksheet">
    <worksheetSource ref="A1:N151" sheet="Purchase_Orders"/>
  </cacheSource>
  <cacheFields count="16">
    <cacheField name="PO_ID" numFmtId="0">
      <sharedItems/>
    </cacheField>
    <cacheField name="PO_Date" numFmtId="14">
      <sharedItems containsSemiMixedTypes="0" containsNonDate="0" containsDate="1" containsString="0" minDate="2025-01-01T00:00:00" maxDate="2025-07-01T00:00:00"/>
    </cacheField>
    <cacheField name="Category" numFmtId="0">
      <sharedItems/>
    </cacheField>
    <cacheField name="Material" numFmtId="0">
      <sharedItems/>
    </cacheField>
    <cacheField name="Supplier_ID" numFmtId="0">
      <sharedItems/>
    </cacheField>
    <cacheField name="Country" numFmtId="0">
      <sharedItems/>
    </cacheField>
    <cacheField name="Qty" numFmtId="0">
      <sharedItems containsSemiMixedTypes="0" containsString="0" containsNumber="1" containsInteger="1" minValue="10" maxValue="498"/>
    </cacheField>
    <cacheField name="Unit_Price_INR" numFmtId="1">
      <sharedItems containsSemiMixedTypes="0" containsString="0" containsNumber="1" minValue="5703.33" maxValue="248308.51"/>
    </cacheField>
    <cacheField name="PO value " numFmtId="1">
      <sharedItems containsSemiMixedTypes="0" containsString="0" containsNumber="1" minValue="370716.45" maxValue="118169584.48"/>
    </cacheField>
    <cacheField name="Status" numFmtId="0">
      <sharedItems/>
    </cacheField>
    <cacheField name="Invoice_Date" numFmtId="14">
      <sharedItems containsSemiMixedTypes="0" containsNonDate="0" containsDate="1" containsString="0" minDate="2025-01-06T00:00:00" maxDate="2025-07-30T00:00:00"/>
    </cacheField>
    <cacheField name="Invoice_Amount_INR" numFmtId="1">
      <sharedItems containsSemiMixedTypes="0" containsString="0" containsNumber="1" minValue="230513.12" maxValue="49830862.869999997"/>
    </cacheField>
    <cacheField name="Payment_Status" numFmtId="0">
      <sharedItems/>
    </cacheField>
    <cacheField name="Supplier_Name" numFmtId="0">
      <sharedItems/>
    </cacheField>
    <cacheField name="Average PO value" numFmtId="0" formula="'PO value '/PO_ID" databaseField="0"/>
    <cacheField name="Field1" numFmtId="0" formula="'PO value '/6" databaseField="0"/>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priyo Mondal" refreshedDate="46200.065067939817" createdVersion="8" refreshedVersion="8" minRefreshableVersion="3" recordCount="6" xr:uid="{4F0C5DEA-C7E2-4A7F-9535-4A47BD03F0C9}">
  <cacheSource type="worksheet">
    <worksheetSource name="Supplier"/>
  </cacheSource>
  <cacheFields count="9">
    <cacheField name="Supplier_ID" numFmtId="0">
      <sharedItems count="6">
        <s v="SUP001"/>
        <s v="SUP002"/>
        <s v="SUP003"/>
        <s v="SUP004"/>
        <s v="SUP005"/>
        <s v="SUP006"/>
      </sharedItems>
    </cacheField>
    <cacheField name="Supplier_Name" numFmtId="0">
      <sharedItems count="6">
        <s v="Siemens India"/>
        <s v="Shanghai Solar Tech"/>
        <s v="BHP Supplies"/>
        <s v="Hitachi"/>
        <s v="Schneider Electric"/>
        <s v="DP World Industrial"/>
      </sharedItems>
    </cacheField>
    <cacheField name="Country" numFmtId="0">
      <sharedItems/>
    </cacheField>
    <cacheField name="Preferred_Category" numFmtId="0">
      <sharedItems/>
    </cacheField>
    <cacheField name="Contract_Start" numFmtId="14">
      <sharedItems containsSemiMixedTypes="0" containsNonDate="0" containsDate="1" containsString="0" minDate="2024-01-01T00:00:00" maxDate="2024-01-02T00:00:00"/>
    </cacheField>
    <cacheField name="Contract_End" numFmtId="14">
      <sharedItems containsSemiMixedTypes="0" containsNonDate="0" containsDate="1" containsString="0" minDate="2026-12-31T00:00:00" maxDate="2027-01-01T00:00:00"/>
    </cacheField>
    <cacheField name="On_Time_Delivery_%" numFmtId="0">
      <sharedItems containsSemiMixedTypes="0" containsString="0" containsNumber="1" containsInteger="1" minValue="84" maxValue="97"/>
    </cacheField>
    <cacheField name="Quality_Score" numFmtId="0">
      <sharedItems containsSemiMixedTypes="0" containsString="0" containsNumber="1" minValue="3.54" maxValue="4.8499999999999996"/>
    </cacheField>
    <cacheField name="Payment_Term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
  <r>
    <s v="PO0001"/>
    <x v="0"/>
    <x v="0"/>
    <x v="0"/>
    <x v="0"/>
    <x v="0"/>
    <s v="Japan"/>
    <n v="343"/>
    <n v="16830.169999999998"/>
    <n v="5772748.3099999996"/>
    <x v="0"/>
    <d v="2025-07-23T00:00:00"/>
    <n v="19387087.960000001"/>
    <s v="Pending"/>
    <x v="0"/>
  </r>
  <r>
    <s v="PO0002"/>
    <x v="1"/>
    <x v="0"/>
    <x v="0"/>
    <x v="0"/>
    <x v="1"/>
    <s v="France"/>
    <n v="119"/>
    <n v="14186.44"/>
    <n v="1688186.36"/>
    <x v="1"/>
    <d v="2025-04-26T00:00:00"/>
    <n v="40758532.539999999"/>
    <s v="Paid"/>
    <x v="1"/>
  </r>
  <r>
    <s v="PO0003"/>
    <x v="2"/>
    <x v="1"/>
    <x v="1"/>
    <x v="1"/>
    <x v="2"/>
    <s v="India"/>
    <n v="292"/>
    <n v="109007.2"/>
    <n v="31830102.399999999"/>
    <x v="0"/>
    <d v="2025-05-13T00:00:00"/>
    <n v="9228667.6500000004"/>
    <s v="Overdue"/>
    <x v="2"/>
  </r>
  <r>
    <s v="PO0004"/>
    <x v="3"/>
    <x v="2"/>
    <x v="2"/>
    <x v="2"/>
    <x v="1"/>
    <s v="France"/>
    <n v="309"/>
    <n v="102186.72"/>
    <n v="31575696.48"/>
    <x v="0"/>
    <d v="2025-03-24T00:00:00"/>
    <n v="41155487.100000001"/>
    <s v="Paid"/>
    <x v="1"/>
  </r>
  <r>
    <s v="PO0005"/>
    <x v="4"/>
    <x v="3"/>
    <x v="3"/>
    <x v="3"/>
    <x v="3"/>
    <s v="Australia"/>
    <n v="224"/>
    <n v="40342.5"/>
    <n v="9036720"/>
    <x v="2"/>
    <d v="2025-06-10T00:00:00"/>
    <n v="11883511.310000001"/>
    <s v="Pending"/>
    <x v="3"/>
  </r>
  <r>
    <s v="PO0006"/>
    <x v="5"/>
    <x v="0"/>
    <x v="0"/>
    <x v="0"/>
    <x v="2"/>
    <s v="India"/>
    <n v="307"/>
    <n v="144945.07999999999"/>
    <n v="44498139.560000002"/>
    <x v="1"/>
    <d v="2025-05-03T00:00:00"/>
    <n v="18156736.199999999"/>
    <s v="Overdue"/>
    <x v="2"/>
  </r>
  <r>
    <s v="PO0007"/>
    <x v="6"/>
    <x v="1"/>
    <x v="1"/>
    <x v="1"/>
    <x v="1"/>
    <s v="France"/>
    <n v="40"/>
    <n v="156657.35"/>
    <n v="6266294"/>
    <x v="2"/>
    <d v="2025-01-26T00:00:00"/>
    <n v="25643050.530000001"/>
    <s v="Pending"/>
    <x v="1"/>
  </r>
  <r>
    <s v="PO0008"/>
    <x v="7"/>
    <x v="3"/>
    <x v="3"/>
    <x v="4"/>
    <x v="3"/>
    <s v="Australia"/>
    <n v="248"/>
    <n v="148462.66"/>
    <n v="36818739.68"/>
    <x v="1"/>
    <d v="2025-07-17T00:00:00"/>
    <n v="8080875.4400000004"/>
    <s v="Pending"/>
    <x v="3"/>
  </r>
  <r>
    <s v="PO0009"/>
    <x v="8"/>
    <x v="0"/>
    <x v="0"/>
    <x v="0"/>
    <x v="4"/>
    <s v="China"/>
    <n v="367"/>
    <n v="196058.26"/>
    <n v="71953381.420000002"/>
    <x v="2"/>
    <d v="2025-01-22T00:00:00"/>
    <n v="32512345.280000001"/>
    <s v="Pending"/>
    <x v="4"/>
  </r>
  <r>
    <s v="PO0010"/>
    <x v="9"/>
    <x v="0"/>
    <x v="0"/>
    <x v="5"/>
    <x v="3"/>
    <s v="Australia"/>
    <n v="383"/>
    <n v="114964.38"/>
    <n v="44031357.539999999"/>
    <x v="0"/>
    <d v="2025-05-27T00:00:00"/>
    <n v="27276369.32"/>
    <s v="Paid"/>
    <x v="3"/>
  </r>
  <r>
    <s v="PO0011"/>
    <x v="10"/>
    <x v="1"/>
    <x v="1"/>
    <x v="6"/>
    <x v="4"/>
    <s v="China"/>
    <n v="397"/>
    <n v="88803.67"/>
    <n v="35255056.990000002"/>
    <x v="1"/>
    <d v="2025-04-25T00:00:00"/>
    <n v="44185383.859999999"/>
    <s v="Paid"/>
    <x v="4"/>
  </r>
  <r>
    <s v="PO0012"/>
    <x v="11"/>
    <x v="1"/>
    <x v="1"/>
    <x v="1"/>
    <x v="1"/>
    <s v="France"/>
    <n v="303"/>
    <n v="198328.07"/>
    <n v="60093405.210000001"/>
    <x v="1"/>
    <d v="2025-03-14T00:00:00"/>
    <n v="31267618.510000002"/>
    <s v="Paid"/>
    <x v="1"/>
  </r>
  <r>
    <s v="PO0013"/>
    <x v="7"/>
    <x v="4"/>
    <x v="4"/>
    <x v="7"/>
    <x v="1"/>
    <s v="France"/>
    <n v="264"/>
    <n v="147074.32999999999"/>
    <n v="38827623.119999997"/>
    <x v="0"/>
    <d v="2025-01-30T00:00:00"/>
    <n v="21110907.739999998"/>
    <s v="Overdue"/>
    <x v="1"/>
  </r>
  <r>
    <s v="PO0014"/>
    <x v="12"/>
    <x v="1"/>
    <x v="1"/>
    <x v="6"/>
    <x v="0"/>
    <s v="Japan"/>
    <n v="366"/>
    <n v="167717.29"/>
    <n v="61384528.140000001"/>
    <x v="2"/>
    <d v="2025-04-30T00:00:00"/>
    <n v="8742273.9199999999"/>
    <s v="Paid"/>
    <x v="0"/>
  </r>
  <r>
    <s v="PO0015"/>
    <x v="13"/>
    <x v="4"/>
    <x v="4"/>
    <x v="7"/>
    <x v="5"/>
    <s v="UAE"/>
    <n v="305"/>
    <n v="248308.51"/>
    <n v="75734095.549999997"/>
    <x v="1"/>
    <d v="2025-04-22T00:00:00"/>
    <n v="23100095.91"/>
    <s v="Overdue"/>
    <x v="5"/>
  </r>
  <r>
    <s v="PO0016"/>
    <x v="14"/>
    <x v="4"/>
    <x v="4"/>
    <x v="7"/>
    <x v="5"/>
    <s v="UAE"/>
    <n v="187"/>
    <n v="10527.92"/>
    <n v="1968721.04"/>
    <x v="1"/>
    <d v="2025-03-07T00:00:00"/>
    <n v="37424054.530000001"/>
    <s v="Overdue"/>
    <x v="5"/>
  </r>
  <r>
    <s v="PO0017"/>
    <x v="15"/>
    <x v="2"/>
    <x v="2"/>
    <x v="2"/>
    <x v="0"/>
    <s v="Japan"/>
    <n v="40"/>
    <n v="58460.9"/>
    <n v="2338436"/>
    <x v="0"/>
    <d v="2025-07-19T00:00:00"/>
    <n v="6146120.4000000004"/>
    <s v="Pending"/>
    <x v="0"/>
  </r>
  <r>
    <s v="PO0018"/>
    <x v="6"/>
    <x v="4"/>
    <x v="4"/>
    <x v="8"/>
    <x v="0"/>
    <s v="Japan"/>
    <n v="210"/>
    <n v="229619.98"/>
    <n v="48220195.799999997"/>
    <x v="0"/>
    <d v="2025-03-22T00:00:00"/>
    <n v="14041905.84"/>
    <s v="Pending"/>
    <x v="0"/>
  </r>
  <r>
    <s v="PO0019"/>
    <x v="16"/>
    <x v="2"/>
    <x v="2"/>
    <x v="9"/>
    <x v="0"/>
    <s v="Japan"/>
    <n v="291"/>
    <n v="73070.59"/>
    <n v="21263541.690000001"/>
    <x v="1"/>
    <d v="2025-04-11T00:00:00"/>
    <n v="12777419.539999999"/>
    <s v="Pending"/>
    <x v="0"/>
  </r>
  <r>
    <s v="PO0020"/>
    <x v="17"/>
    <x v="3"/>
    <x v="3"/>
    <x v="4"/>
    <x v="5"/>
    <s v="UAE"/>
    <n v="222"/>
    <n v="246684.43"/>
    <n v="54763943.460000001"/>
    <x v="1"/>
    <d v="2025-02-25T00:00:00"/>
    <n v="22025948.300000001"/>
    <s v="Paid"/>
    <x v="5"/>
  </r>
  <r>
    <s v="PO0021"/>
    <x v="18"/>
    <x v="2"/>
    <x v="2"/>
    <x v="2"/>
    <x v="2"/>
    <s v="India"/>
    <n v="100"/>
    <n v="42068.1"/>
    <n v="4206810"/>
    <x v="0"/>
    <d v="2025-03-09T00:00:00"/>
    <n v="11851650.1"/>
    <s v="Pending"/>
    <x v="2"/>
  </r>
  <r>
    <s v="PO0022"/>
    <x v="19"/>
    <x v="1"/>
    <x v="1"/>
    <x v="6"/>
    <x v="1"/>
    <s v="France"/>
    <n v="103"/>
    <n v="69372.92"/>
    <n v="7145410.7599999998"/>
    <x v="0"/>
    <d v="2025-06-03T00:00:00"/>
    <n v="9493681.6999999993"/>
    <s v="Paid"/>
    <x v="1"/>
  </r>
  <r>
    <s v="PO0023"/>
    <x v="20"/>
    <x v="5"/>
    <x v="5"/>
    <x v="10"/>
    <x v="1"/>
    <s v="France"/>
    <n v="299"/>
    <n v="83059.86"/>
    <n v="24834898.140000001"/>
    <x v="2"/>
    <d v="2025-04-17T00:00:00"/>
    <n v="12657521.91"/>
    <s v="Paid"/>
    <x v="1"/>
  </r>
  <r>
    <s v="PO0024"/>
    <x v="17"/>
    <x v="3"/>
    <x v="3"/>
    <x v="3"/>
    <x v="0"/>
    <s v="Japan"/>
    <n v="470"/>
    <n v="218389.98"/>
    <n v="102643290.59999999"/>
    <x v="2"/>
    <d v="2025-05-15T00:00:00"/>
    <n v="26362806.469999999"/>
    <s v="Overdue"/>
    <x v="0"/>
  </r>
  <r>
    <s v="PO0025"/>
    <x v="21"/>
    <x v="5"/>
    <x v="5"/>
    <x v="10"/>
    <x v="0"/>
    <s v="Japan"/>
    <n v="211"/>
    <n v="30366.59"/>
    <n v="6407350.4900000002"/>
    <x v="1"/>
    <d v="2025-01-31T00:00:00"/>
    <n v="32700994.949999999"/>
    <s v="Paid"/>
    <x v="0"/>
  </r>
  <r>
    <s v="PO0026"/>
    <x v="22"/>
    <x v="1"/>
    <x v="1"/>
    <x v="1"/>
    <x v="2"/>
    <s v="India"/>
    <n v="116"/>
    <n v="112953.58"/>
    <n v="13102615.279999999"/>
    <x v="1"/>
    <d v="2025-02-01T00:00:00"/>
    <n v="324155.8"/>
    <s v="Paid"/>
    <x v="2"/>
  </r>
  <r>
    <s v="PO0027"/>
    <x v="0"/>
    <x v="3"/>
    <x v="3"/>
    <x v="3"/>
    <x v="2"/>
    <s v="India"/>
    <n v="10"/>
    <n v="143861.98000000001"/>
    <n v="1438619.8"/>
    <x v="0"/>
    <d v="2025-04-30T00:00:00"/>
    <n v="45727340.140000001"/>
    <s v="Paid"/>
    <x v="2"/>
  </r>
  <r>
    <s v="PO0028"/>
    <x v="23"/>
    <x v="0"/>
    <x v="0"/>
    <x v="0"/>
    <x v="2"/>
    <s v="India"/>
    <n v="457"/>
    <n v="55948.41"/>
    <n v="25568423.370000001"/>
    <x v="0"/>
    <d v="2025-03-22T00:00:00"/>
    <n v="11721344.640000001"/>
    <s v="Paid"/>
    <x v="2"/>
  </r>
  <r>
    <s v="PO0029"/>
    <x v="24"/>
    <x v="4"/>
    <x v="4"/>
    <x v="7"/>
    <x v="3"/>
    <s v="Australia"/>
    <n v="318"/>
    <n v="94220.04"/>
    <n v="29961972.719999999"/>
    <x v="0"/>
    <d v="2025-02-23T00:00:00"/>
    <n v="30064616.25"/>
    <s v="Overdue"/>
    <x v="3"/>
  </r>
  <r>
    <s v="PO0030"/>
    <x v="25"/>
    <x v="5"/>
    <x v="5"/>
    <x v="10"/>
    <x v="0"/>
    <s v="Japan"/>
    <n v="257"/>
    <n v="81403.820000000007"/>
    <n v="20920781.739999998"/>
    <x v="0"/>
    <d v="2025-02-24T00:00:00"/>
    <n v="46515670.020000003"/>
    <s v="Pending"/>
    <x v="0"/>
  </r>
  <r>
    <s v="PO0031"/>
    <x v="26"/>
    <x v="4"/>
    <x v="4"/>
    <x v="7"/>
    <x v="5"/>
    <s v="UAE"/>
    <n v="145"/>
    <n v="122262.38"/>
    <n v="17728045.100000001"/>
    <x v="0"/>
    <d v="2025-05-17T00:00:00"/>
    <n v="43319753.689999998"/>
    <s v="Pending"/>
    <x v="5"/>
  </r>
  <r>
    <s v="PO0032"/>
    <x v="27"/>
    <x v="3"/>
    <x v="3"/>
    <x v="3"/>
    <x v="4"/>
    <s v="China"/>
    <n v="496"/>
    <n v="238245.13"/>
    <n v="118169584.48"/>
    <x v="0"/>
    <d v="2025-06-09T00:00:00"/>
    <n v="13071416.289999999"/>
    <s v="Overdue"/>
    <x v="4"/>
  </r>
  <r>
    <s v="PO0033"/>
    <x v="28"/>
    <x v="4"/>
    <x v="4"/>
    <x v="8"/>
    <x v="1"/>
    <s v="France"/>
    <n v="162"/>
    <n v="244732.79999999999"/>
    <n v="39646713.600000001"/>
    <x v="2"/>
    <d v="2025-01-07T00:00:00"/>
    <n v="5378425.1100000003"/>
    <s v="Overdue"/>
    <x v="1"/>
  </r>
  <r>
    <s v="PO0034"/>
    <x v="29"/>
    <x v="0"/>
    <x v="0"/>
    <x v="5"/>
    <x v="4"/>
    <s v="China"/>
    <n v="192"/>
    <n v="194124.79"/>
    <n v="37271959.68"/>
    <x v="2"/>
    <d v="2025-07-06T00:00:00"/>
    <n v="31035404.199999999"/>
    <s v="Paid"/>
    <x v="4"/>
  </r>
  <r>
    <s v="PO0035"/>
    <x v="30"/>
    <x v="3"/>
    <x v="3"/>
    <x v="4"/>
    <x v="5"/>
    <s v="UAE"/>
    <n v="124"/>
    <n v="155240.91"/>
    <n v="19249872.84"/>
    <x v="0"/>
    <d v="2025-01-15T00:00:00"/>
    <n v="18498556.82"/>
    <s v="Paid"/>
    <x v="5"/>
  </r>
  <r>
    <s v="PO0036"/>
    <x v="31"/>
    <x v="5"/>
    <x v="5"/>
    <x v="11"/>
    <x v="4"/>
    <s v="China"/>
    <n v="275"/>
    <n v="125731.55"/>
    <n v="34576176.25"/>
    <x v="0"/>
    <d v="2025-01-17T00:00:00"/>
    <n v="10278424.23"/>
    <s v="Pending"/>
    <x v="4"/>
  </r>
  <r>
    <s v="PO0037"/>
    <x v="32"/>
    <x v="0"/>
    <x v="0"/>
    <x v="5"/>
    <x v="3"/>
    <s v="Australia"/>
    <n v="109"/>
    <n v="174667.88"/>
    <n v="19038798.920000002"/>
    <x v="1"/>
    <d v="2025-01-15T00:00:00"/>
    <n v="30011226.129999999"/>
    <s v="Overdue"/>
    <x v="3"/>
  </r>
  <r>
    <s v="PO0038"/>
    <x v="33"/>
    <x v="4"/>
    <x v="4"/>
    <x v="7"/>
    <x v="3"/>
    <s v="Australia"/>
    <n v="51"/>
    <n v="59013.27"/>
    <n v="3009676.77"/>
    <x v="1"/>
    <d v="2025-02-27T00:00:00"/>
    <n v="40755711.630000003"/>
    <s v="Pending"/>
    <x v="3"/>
  </r>
  <r>
    <s v="PO0039"/>
    <x v="34"/>
    <x v="2"/>
    <x v="2"/>
    <x v="9"/>
    <x v="4"/>
    <s v="China"/>
    <n v="257"/>
    <n v="157896.26999999999"/>
    <n v="40579341.390000001"/>
    <x v="0"/>
    <d v="2025-04-20T00:00:00"/>
    <n v="33948155.030000001"/>
    <s v="Paid"/>
    <x v="4"/>
  </r>
  <r>
    <s v="PO0040"/>
    <x v="4"/>
    <x v="5"/>
    <x v="5"/>
    <x v="10"/>
    <x v="5"/>
    <s v="UAE"/>
    <n v="53"/>
    <n v="209488.96"/>
    <n v="11102914.880000001"/>
    <x v="1"/>
    <d v="2025-06-13T00:00:00"/>
    <n v="15678567.119999999"/>
    <s v="Paid"/>
    <x v="5"/>
  </r>
  <r>
    <s v="PO0041"/>
    <x v="21"/>
    <x v="4"/>
    <x v="4"/>
    <x v="8"/>
    <x v="0"/>
    <s v="Japan"/>
    <n v="465"/>
    <n v="48737.82"/>
    <n v="22663086.300000001"/>
    <x v="1"/>
    <d v="2025-01-14T00:00:00"/>
    <n v="39784530.289999999"/>
    <s v="Overdue"/>
    <x v="0"/>
  </r>
  <r>
    <s v="PO0042"/>
    <x v="35"/>
    <x v="1"/>
    <x v="1"/>
    <x v="6"/>
    <x v="0"/>
    <s v="Japan"/>
    <n v="215"/>
    <n v="187121.41"/>
    <n v="40231103.149999999"/>
    <x v="2"/>
    <d v="2025-05-09T00:00:00"/>
    <n v="3257226.82"/>
    <s v="Paid"/>
    <x v="0"/>
  </r>
  <r>
    <s v="PO0043"/>
    <x v="36"/>
    <x v="2"/>
    <x v="2"/>
    <x v="2"/>
    <x v="4"/>
    <s v="China"/>
    <n v="24"/>
    <n v="42031.92"/>
    <n v="1008766.08"/>
    <x v="2"/>
    <d v="2025-07-28T00:00:00"/>
    <n v="19825305.960000001"/>
    <s v="Overdue"/>
    <x v="4"/>
  </r>
  <r>
    <s v="PO0044"/>
    <x v="37"/>
    <x v="2"/>
    <x v="2"/>
    <x v="9"/>
    <x v="5"/>
    <s v="UAE"/>
    <n v="489"/>
    <n v="90849.84"/>
    <n v="44425571.759999998"/>
    <x v="2"/>
    <d v="2025-02-14T00:00:00"/>
    <n v="31995179.09"/>
    <s v="Paid"/>
    <x v="5"/>
  </r>
  <r>
    <s v="PO0045"/>
    <x v="38"/>
    <x v="2"/>
    <x v="2"/>
    <x v="2"/>
    <x v="2"/>
    <s v="India"/>
    <n v="419"/>
    <n v="242868.09"/>
    <n v="101761729.70999999"/>
    <x v="0"/>
    <d v="2025-06-22T00:00:00"/>
    <n v="8268096.9800000004"/>
    <s v="Overdue"/>
    <x v="2"/>
  </r>
  <r>
    <s v="PO0046"/>
    <x v="39"/>
    <x v="3"/>
    <x v="3"/>
    <x v="3"/>
    <x v="0"/>
    <s v="Japan"/>
    <n v="456"/>
    <n v="52727.33"/>
    <n v="24043662.48"/>
    <x v="0"/>
    <d v="2025-03-16T00:00:00"/>
    <n v="20548467.18"/>
    <s v="Pending"/>
    <x v="0"/>
  </r>
  <r>
    <s v="PO0047"/>
    <x v="40"/>
    <x v="0"/>
    <x v="0"/>
    <x v="0"/>
    <x v="3"/>
    <s v="Australia"/>
    <n v="266"/>
    <n v="63932.15"/>
    <n v="17005951.899999999"/>
    <x v="1"/>
    <d v="2025-06-25T00:00:00"/>
    <n v="15449028.560000001"/>
    <s v="Paid"/>
    <x v="3"/>
  </r>
  <r>
    <s v="PO0048"/>
    <x v="41"/>
    <x v="0"/>
    <x v="0"/>
    <x v="5"/>
    <x v="4"/>
    <s v="China"/>
    <n v="41"/>
    <n v="227954.18"/>
    <n v="9346121.3800000008"/>
    <x v="1"/>
    <d v="2025-03-26T00:00:00"/>
    <n v="37292344.490000002"/>
    <s v="Pending"/>
    <x v="4"/>
  </r>
  <r>
    <s v="PO0049"/>
    <x v="42"/>
    <x v="4"/>
    <x v="4"/>
    <x v="7"/>
    <x v="1"/>
    <s v="France"/>
    <n v="76"/>
    <n v="135297.12"/>
    <n v="10282581.119999999"/>
    <x v="2"/>
    <d v="2025-04-22T00:00:00"/>
    <n v="20880624.57"/>
    <s v="Pending"/>
    <x v="1"/>
  </r>
  <r>
    <s v="PO0050"/>
    <x v="43"/>
    <x v="1"/>
    <x v="1"/>
    <x v="6"/>
    <x v="4"/>
    <s v="China"/>
    <n v="321"/>
    <n v="5963.46"/>
    <n v="1914270.66"/>
    <x v="0"/>
    <d v="2025-06-19T00:00:00"/>
    <n v="9940359.3499999996"/>
    <s v="Overdue"/>
    <x v="4"/>
  </r>
  <r>
    <s v="PO0051"/>
    <x v="12"/>
    <x v="2"/>
    <x v="2"/>
    <x v="9"/>
    <x v="1"/>
    <s v="France"/>
    <n v="381"/>
    <n v="34482.47"/>
    <n v="13137821.07"/>
    <x v="1"/>
    <d v="2025-04-19T00:00:00"/>
    <n v="10262991.83"/>
    <s v="Paid"/>
    <x v="1"/>
  </r>
  <r>
    <s v="PO0052"/>
    <x v="44"/>
    <x v="4"/>
    <x v="4"/>
    <x v="7"/>
    <x v="2"/>
    <s v="India"/>
    <n v="462"/>
    <n v="142272.54999999999"/>
    <n v="65729918.100000001"/>
    <x v="0"/>
    <d v="2025-04-27T00:00:00"/>
    <n v="45091366.020000003"/>
    <s v="Pending"/>
    <x v="2"/>
  </r>
  <r>
    <s v="PO0053"/>
    <x v="31"/>
    <x v="0"/>
    <x v="0"/>
    <x v="0"/>
    <x v="2"/>
    <s v="India"/>
    <n v="269"/>
    <n v="115783.1"/>
    <n v="31145653.899999999"/>
    <x v="0"/>
    <d v="2025-02-04T00:00:00"/>
    <n v="41036392.200000003"/>
    <s v="Pending"/>
    <x v="2"/>
  </r>
  <r>
    <s v="PO0054"/>
    <x v="45"/>
    <x v="5"/>
    <x v="5"/>
    <x v="10"/>
    <x v="1"/>
    <s v="France"/>
    <n v="268"/>
    <n v="153503.73000000001"/>
    <n v="41138999.640000001"/>
    <x v="2"/>
    <d v="2025-06-02T00:00:00"/>
    <n v="44153613.530000001"/>
    <s v="Pending"/>
    <x v="1"/>
  </r>
  <r>
    <s v="PO0055"/>
    <x v="46"/>
    <x v="0"/>
    <x v="0"/>
    <x v="5"/>
    <x v="1"/>
    <s v="France"/>
    <n v="283"/>
    <n v="202803.72"/>
    <n v="57393452.759999998"/>
    <x v="0"/>
    <d v="2025-07-22T00:00:00"/>
    <n v="8210974.5099999998"/>
    <s v="Paid"/>
    <x v="1"/>
  </r>
  <r>
    <s v="PO0056"/>
    <x v="13"/>
    <x v="4"/>
    <x v="4"/>
    <x v="7"/>
    <x v="1"/>
    <s v="France"/>
    <n v="467"/>
    <n v="236100.42"/>
    <n v="110258896.14"/>
    <x v="0"/>
    <d v="2025-01-19T00:00:00"/>
    <n v="27622238.02"/>
    <s v="Overdue"/>
    <x v="1"/>
  </r>
  <r>
    <s v="PO0057"/>
    <x v="47"/>
    <x v="5"/>
    <x v="5"/>
    <x v="11"/>
    <x v="0"/>
    <s v="Japan"/>
    <n v="236"/>
    <n v="82415.05"/>
    <n v="19449951.800000001"/>
    <x v="0"/>
    <d v="2025-04-17T00:00:00"/>
    <n v="4542652.49"/>
    <s v="Overdue"/>
    <x v="0"/>
  </r>
  <r>
    <s v="PO0058"/>
    <x v="24"/>
    <x v="5"/>
    <x v="5"/>
    <x v="11"/>
    <x v="4"/>
    <s v="China"/>
    <n v="352"/>
    <n v="79181.119999999995"/>
    <n v="27871754.239999998"/>
    <x v="0"/>
    <d v="2025-04-10T00:00:00"/>
    <n v="36888722.030000001"/>
    <s v="Paid"/>
    <x v="4"/>
  </r>
  <r>
    <s v="PO0059"/>
    <x v="36"/>
    <x v="4"/>
    <x v="4"/>
    <x v="7"/>
    <x v="4"/>
    <s v="China"/>
    <n v="139"/>
    <n v="221294.04"/>
    <n v="30759871.559999999"/>
    <x v="0"/>
    <d v="2025-02-12T00:00:00"/>
    <n v="17462452.489999998"/>
    <s v="Paid"/>
    <x v="4"/>
  </r>
  <r>
    <s v="PO0060"/>
    <x v="48"/>
    <x v="4"/>
    <x v="4"/>
    <x v="8"/>
    <x v="0"/>
    <s v="Japan"/>
    <n v="463"/>
    <n v="124378.89"/>
    <n v="57587426.07"/>
    <x v="0"/>
    <d v="2025-05-19T00:00:00"/>
    <n v="8672086.5700000003"/>
    <s v="Paid"/>
    <x v="0"/>
  </r>
  <r>
    <s v="PO0061"/>
    <x v="49"/>
    <x v="2"/>
    <x v="2"/>
    <x v="9"/>
    <x v="1"/>
    <s v="France"/>
    <n v="216"/>
    <n v="88083.46"/>
    <n v="19026027.359999999"/>
    <x v="1"/>
    <d v="2025-02-02T00:00:00"/>
    <n v="19248364.100000001"/>
    <s v="Paid"/>
    <x v="1"/>
  </r>
  <r>
    <s v="PO0062"/>
    <x v="50"/>
    <x v="0"/>
    <x v="0"/>
    <x v="0"/>
    <x v="5"/>
    <s v="UAE"/>
    <n v="197"/>
    <n v="9773.32"/>
    <n v="1925344.04"/>
    <x v="1"/>
    <d v="2025-03-24T00:00:00"/>
    <n v="6419852.6900000004"/>
    <s v="Paid"/>
    <x v="5"/>
  </r>
  <r>
    <s v="PO0063"/>
    <x v="51"/>
    <x v="5"/>
    <x v="5"/>
    <x v="11"/>
    <x v="0"/>
    <s v="Japan"/>
    <n v="179"/>
    <n v="131771.29"/>
    <n v="23587060.91"/>
    <x v="2"/>
    <d v="2025-05-09T00:00:00"/>
    <n v="15794845.890000001"/>
    <s v="Overdue"/>
    <x v="0"/>
  </r>
  <r>
    <s v="PO0064"/>
    <x v="52"/>
    <x v="1"/>
    <x v="1"/>
    <x v="1"/>
    <x v="4"/>
    <s v="China"/>
    <n v="458"/>
    <n v="30671"/>
    <n v="14047318"/>
    <x v="1"/>
    <d v="2025-06-17T00:00:00"/>
    <n v="19455969.600000001"/>
    <s v="Overdue"/>
    <x v="4"/>
  </r>
  <r>
    <s v="PO0065"/>
    <x v="53"/>
    <x v="1"/>
    <x v="1"/>
    <x v="1"/>
    <x v="3"/>
    <s v="Australia"/>
    <n v="396"/>
    <n v="36741.11"/>
    <n v="14549479.560000001"/>
    <x v="2"/>
    <d v="2025-06-13T00:00:00"/>
    <n v="34442006.630000003"/>
    <s v="Paid"/>
    <x v="3"/>
  </r>
  <r>
    <s v="PO0066"/>
    <x v="54"/>
    <x v="0"/>
    <x v="0"/>
    <x v="5"/>
    <x v="4"/>
    <s v="China"/>
    <n v="284"/>
    <n v="230197.02"/>
    <n v="65375953.68"/>
    <x v="1"/>
    <d v="2025-06-18T00:00:00"/>
    <n v="39312696.030000001"/>
    <s v="Paid"/>
    <x v="4"/>
  </r>
  <r>
    <s v="PO0067"/>
    <x v="55"/>
    <x v="4"/>
    <x v="4"/>
    <x v="7"/>
    <x v="2"/>
    <s v="India"/>
    <n v="152"/>
    <n v="19094"/>
    <n v="2902288"/>
    <x v="0"/>
    <d v="2025-06-13T00:00:00"/>
    <n v="20283779.16"/>
    <s v="Paid"/>
    <x v="2"/>
  </r>
  <r>
    <s v="PO0068"/>
    <x v="56"/>
    <x v="5"/>
    <x v="5"/>
    <x v="11"/>
    <x v="3"/>
    <s v="Australia"/>
    <n v="490"/>
    <n v="9123.77"/>
    <n v="4470647.3"/>
    <x v="1"/>
    <d v="2025-05-07T00:00:00"/>
    <n v="9229980.6300000008"/>
    <s v="Paid"/>
    <x v="3"/>
  </r>
  <r>
    <s v="PO0069"/>
    <x v="7"/>
    <x v="1"/>
    <x v="1"/>
    <x v="1"/>
    <x v="2"/>
    <s v="India"/>
    <n v="145"/>
    <n v="216379.87"/>
    <n v="31375081.149999999"/>
    <x v="0"/>
    <d v="2025-01-16T00:00:00"/>
    <n v="20047304.600000001"/>
    <s v="Overdue"/>
    <x v="2"/>
  </r>
  <r>
    <s v="PO0070"/>
    <x v="42"/>
    <x v="0"/>
    <x v="0"/>
    <x v="5"/>
    <x v="3"/>
    <s v="Australia"/>
    <n v="328"/>
    <n v="36660.080000000002"/>
    <n v="12024506.24"/>
    <x v="2"/>
    <d v="2025-02-15T00:00:00"/>
    <n v="19240461.039999999"/>
    <s v="Paid"/>
    <x v="3"/>
  </r>
  <r>
    <s v="PO0071"/>
    <x v="45"/>
    <x v="2"/>
    <x v="2"/>
    <x v="2"/>
    <x v="4"/>
    <s v="China"/>
    <n v="144"/>
    <n v="17343.03"/>
    <n v="2497396.3199999998"/>
    <x v="1"/>
    <d v="2025-02-13T00:00:00"/>
    <n v="12428239.01"/>
    <s v="Overdue"/>
    <x v="4"/>
  </r>
  <r>
    <s v="PO0072"/>
    <x v="13"/>
    <x v="4"/>
    <x v="4"/>
    <x v="7"/>
    <x v="1"/>
    <s v="France"/>
    <n v="398"/>
    <n v="55438.53"/>
    <n v="22064534.940000001"/>
    <x v="2"/>
    <d v="2025-02-24T00:00:00"/>
    <n v="2150841.77"/>
    <s v="Overdue"/>
    <x v="1"/>
  </r>
  <r>
    <s v="PO0073"/>
    <x v="57"/>
    <x v="4"/>
    <x v="4"/>
    <x v="8"/>
    <x v="3"/>
    <s v="Australia"/>
    <n v="187"/>
    <n v="201901.34"/>
    <n v="37755550.579999998"/>
    <x v="0"/>
    <d v="2025-07-18T00:00:00"/>
    <n v="33645446.909999996"/>
    <s v="Overdue"/>
    <x v="3"/>
  </r>
  <r>
    <s v="PO0074"/>
    <x v="5"/>
    <x v="1"/>
    <x v="1"/>
    <x v="1"/>
    <x v="5"/>
    <s v="UAE"/>
    <n v="268"/>
    <n v="140007.04000000001"/>
    <n v="37521886.719999999"/>
    <x v="2"/>
    <d v="2025-03-29T00:00:00"/>
    <n v="5974777.6600000001"/>
    <s v="Overdue"/>
    <x v="5"/>
  </r>
  <r>
    <s v="PO0075"/>
    <x v="38"/>
    <x v="5"/>
    <x v="5"/>
    <x v="11"/>
    <x v="0"/>
    <s v="Japan"/>
    <n v="64"/>
    <n v="166288.48000000001"/>
    <n v="10642462.720000001"/>
    <x v="1"/>
    <d v="2025-05-02T00:00:00"/>
    <n v="27547586.670000002"/>
    <s v="Overdue"/>
    <x v="0"/>
  </r>
  <r>
    <s v="PO0076"/>
    <x v="46"/>
    <x v="4"/>
    <x v="4"/>
    <x v="7"/>
    <x v="1"/>
    <s v="France"/>
    <n v="437"/>
    <n v="222737.86"/>
    <n v="97336444.819999993"/>
    <x v="1"/>
    <d v="2025-07-24T00:00:00"/>
    <n v="15380085.77"/>
    <s v="Pending"/>
    <x v="1"/>
  </r>
  <r>
    <s v="PO0077"/>
    <x v="58"/>
    <x v="4"/>
    <x v="4"/>
    <x v="8"/>
    <x v="4"/>
    <s v="China"/>
    <n v="185"/>
    <n v="53663"/>
    <n v="9927655"/>
    <x v="2"/>
    <d v="2025-03-25T00:00:00"/>
    <n v="29172970.57"/>
    <s v="Pending"/>
    <x v="4"/>
  </r>
  <r>
    <s v="PO0078"/>
    <x v="59"/>
    <x v="4"/>
    <x v="4"/>
    <x v="8"/>
    <x v="0"/>
    <s v="Japan"/>
    <n v="187"/>
    <n v="245561.07"/>
    <n v="45919920.090000004"/>
    <x v="0"/>
    <d v="2025-04-15T00:00:00"/>
    <n v="32976251.129999999"/>
    <s v="Pending"/>
    <x v="0"/>
  </r>
  <r>
    <s v="PO0079"/>
    <x v="48"/>
    <x v="1"/>
    <x v="1"/>
    <x v="6"/>
    <x v="0"/>
    <s v="Japan"/>
    <n v="93"/>
    <n v="18573.27"/>
    <n v="1727314.11"/>
    <x v="1"/>
    <d v="2025-05-14T00:00:00"/>
    <n v="21973794.420000002"/>
    <s v="Paid"/>
    <x v="0"/>
  </r>
  <r>
    <s v="PO0080"/>
    <x v="60"/>
    <x v="3"/>
    <x v="3"/>
    <x v="4"/>
    <x v="1"/>
    <s v="France"/>
    <n v="134"/>
    <n v="174707.95"/>
    <n v="23410865.300000001"/>
    <x v="1"/>
    <d v="2025-01-06T00:00:00"/>
    <n v="30982704.800000001"/>
    <s v="Pending"/>
    <x v="1"/>
  </r>
  <r>
    <s v="PO0081"/>
    <x v="61"/>
    <x v="2"/>
    <x v="2"/>
    <x v="2"/>
    <x v="3"/>
    <s v="Australia"/>
    <n v="238"/>
    <n v="5887.56"/>
    <n v="1401239.28"/>
    <x v="1"/>
    <d v="2025-05-05T00:00:00"/>
    <n v="11839021.08"/>
    <s v="Overdue"/>
    <x v="3"/>
  </r>
  <r>
    <s v="PO0082"/>
    <x v="62"/>
    <x v="3"/>
    <x v="3"/>
    <x v="4"/>
    <x v="4"/>
    <s v="China"/>
    <n v="27"/>
    <n v="241588.36"/>
    <n v="6522885.7199999997"/>
    <x v="0"/>
    <d v="2025-07-24T00:00:00"/>
    <n v="40966614.810000002"/>
    <s v="Paid"/>
    <x v="4"/>
  </r>
  <r>
    <s v="PO0083"/>
    <x v="63"/>
    <x v="0"/>
    <x v="0"/>
    <x v="0"/>
    <x v="2"/>
    <s v="India"/>
    <n v="181"/>
    <n v="98498.52"/>
    <n v="17828232.120000001"/>
    <x v="1"/>
    <d v="2025-05-07T00:00:00"/>
    <n v="20077083.07"/>
    <s v="Paid"/>
    <x v="2"/>
  </r>
  <r>
    <s v="PO0084"/>
    <x v="28"/>
    <x v="3"/>
    <x v="3"/>
    <x v="3"/>
    <x v="4"/>
    <s v="China"/>
    <n v="268"/>
    <n v="195178.33"/>
    <n v="52307792.439999998"/>
    <x v="1"/>
    <d v="2025-02-07T00:00:00"/>
    <n v="17992896.07"/>
    <s v="Pending"/>
    <x v="4"/>
  </r>
  <r>
    <s v="PO0085"/>
    <x v="64"/>
    <x v="1"/>
    <x v="1"/>
    <x v="1"/>
    <x v="0"/>
    <s v="Japan"/>
    <n v="310"/>
    <n v="15208.4"/>
    <n v="4714604"/>
    <x v="1"/>
    <d v="2025-01-29T00:00:00"/>
    <n v="40133871.869999997"/>
    <s v="Overdue"/>
    <x v="0"/>
  </r>
  <r>
    <s v="PO0086"/>
    <x v="65"/>
    <x v="0"/>
    <x v="0"/>
    <x v="0"/>
    <x v="2"/>
    <s v="India"/>
    <n v="309"/>
    <n v="239621.11"/>
    <n v="74042922.989999995"/>
    <x v="2"/>
    <d v="2025-05-16T00:00:00"/>
    <n v="32889079.190000001"/>
    <s v="Paid"/>
    <x v="2"/>
  </r>
  <r>
    <s v="PO0087"/>
    <x v="43"/>
    <x v="4"/>
    <x v="4"/>
    <x v="7"/>
    <x v="3"/>
    <s v="Australia"/>
    <n v="378"/>
    <n v="246258.63"/>
    <n v="93085762.140000001"/>
    <x v="1"/>
    <d v="2025-06-17T00:00:00"/>
    <n v="6600521.2000000002"/>
    <s v="Overdue"/>
    <x v="3"/>
  </r>
  <r>
    <s v="PO0088"/>
    <x v="66"/>
    <x v="4"/>
    <x v="4"/>
    <x v="8"/>
    <x v="2"/>
    <s v="India"/>
    <n v="432"/>
    <n v="209645.94"/>
    <n v="90567046.079999998"/>
    <x v="2"/>
    <d v="2025-03-27T00:00:00"/>
    <n v="38904040.710000001"/>
    <s v="Overdue"/>
    <x v="2"/>
  </r>
  <r>
    <s v="PO0089"/>
    <x v="67"/>
    <x v="5"/>
    <x v="5"/>
    <x v="11"/>
    <x v="1"/>
    <s v="France"/>
    <n v="395"/>
    <n v="128570.91"/>
    <n v="50785509.450000003"/>
    <x v="2"/>
    <d v="2025-01-26T00:00:00"/>
    <n v="2807820.06"/>
    <s v="Overdue"/>
    <x v="1"/>
  </r>
  <r>
    <s v="PO0090"/>
    <x v="68"/>
    <x v="3"/>
    <x v="3"/>
    <x v="3"/>
    <x v="2"/>
    <s v="India"/>
    <n v="25"/>
    <n v="15256.21"/>
    <n v="381405.25"/>
    <x v="1"/>
    <d v="2025-04-12T00:00:00"/>
    <n v="32672008.25"/>
    <s v="Paid"/>
    <x v="2"/>
  </r>
  <r>
    <s v="PO0091"/>
    <x v="67"/>
    <x v="1"/>
    <x v="1"/>
    <x v="6"/>
    <x v="0"/>
    <s v="Japan"/>
    <n v="295"/>
    <n v="17441.18"/>
    <n v="5145148.0999999996"/>
    <x v="2"/>
    <d v="2025-01-12T00:00:00"/>
    <n v="42867798.549999997"/>
    <s v="Overdue"/>
    <x v="0"/>
  </r>
  <r>
    <s v="PO0092"/>
    <x v="69"/>
    <x v="3"/>
    <x v="3"/>
    <x v="3"/>
    <x v="0"/>
    <s v="Japan"/>
    <n v="145"/>
    <n v="5812.01"/>
    <n v="842741.45"/>
    <x v="2"/>
    <d v="2025-07-12T00:00:00"/>
    <n v="34658222.43"/>
    <s v="Paid"/>
    <x v="0"/>
  </r>
  <r>
    <s v="PO0093"/>
    <x v="63"/>
    <x v="3"/>
    <x v="3"/>
    <x v="3"/>
    <x v="5"/>
    <s v="UAE"/>
    <n v="279"/>
    <n v="21182.34"/>
    <n v="5909872.8600000003"/>
    <x v="1"/>
    <d v="2025-02-24T00:00:00"/>
    <n v="6667712.2000000002"/>
    <s v="Pending"/>
    <x v="5"/>
  </r>
  <r>
    <s v="PO0094"/>
    <x v="70"/>
    <x v="1"/>
    <x v="1"/>
    <x v="6"/>
    <x v="4"/>
    <s v="China"/>
    <n v="383"/>
    <n v="190328.14"/>
    <n v="72895677.620000005"/>
    <x v="2"/>
    <d v="2025-03-20T00:00:00"/>
    <n v="47836300.490000002"/>
    <s v="Paid"/>
    <x v="4"/>
  </r>
  <r>
    <s v="PO0095"/>
    <x v="71"/>
    <x v="4"/>
    <x v="4"/>
    <x v="7"/>
    <x v="0"/>
    <s v="Japan"/>
    <n v="442"/>
    <n v="98727.32"/>
    <n v="43637475.439999998"/>
    <x v="2"/>
    <d v="2025-06-30T00:00:00"/>
    <n v="39440237.960000001"/>
    <s v="Paid"/>
    <x v="0"/>
  </r>
  <r>
    <s v="PO0096"/>
    <x v="72"/>
    <x v="0"/>
    <x v="0"/>
    <x v="0"/>
    <x v="1"/>
    <s v="France"/>
    <n v="333"/>
    <n v="162476.93"/>
    <n v="54104817.689999998"/>
    <x v="2"/>
    <d v="2025-01-22T00:00:00"/>
    <n v="41668500.520000003"/>
    <s v="Overdue"/>
    <x v="1"/>
  </r>
  <r>
    <s v="PO0097"/>
    <x v="73"/>
    <x v="2"/>
    <x v="2"/>
    <x v="9"/>
    <x v="3"/>
    <s v="Australia"/>
    <n v="343"/>
    <n v="187088.23"/>
    <n v="64171262.890000001"/>
    <x v="2"/>
    <d v="2025-07-18T00:00:00"/>
    <n v="12685816.220000001"/>
    <s v="Pending"/>
    <x v="3"/>
  </r>
  <r>
    <s v="PO0098"/>
    <x v="74"/>
    <x v="3"/>
    <x v="3"/>
    <x v="3"/>
    <x v="2"/>
    <s v="India"/>
    <n v="256"/>
    <n v="19861.95"/>
    <n v="5084659.2"/>
    <x v="2"/>
    <d v="2025-06-12T00:00:00"/>
    <n v="13822130.34"/>
    <s v="Pending"/>
    <x v="2"/>
  </r>
  <r>
    <s v="PO0099"/>
    <x v="75"/>
    <x v="1"/>
    <x v="1"/>
    <x v="1"/>
    <x v="5"/>
    <s v="UAE"/>
    <n v="260"/>
    <n v="76259.839999999997"/>
    <n v="19827558.399999999"/>
    <x v="1"/>
    <d v="2025-02-11T00:00:00"/>
    <n v="12782653.800000001"/>
    <s v="Pending"/>
    <x v="5"/>
  </r>
  <r>
    <s v="PO0100"/>
    <x v="37"/>
    <x v="5"/>
    <x v="5"/>
    <x v="10"/>
    <x v="0"/>
    <s v="Japan"/>
    <n v="402"/>
    <n v="34033.199999999997"/>
    <n v="13681346.4"/>
    <x v="0"/>
    <d v="2025-02-28T00:00:00"/>
    <n v="29635199.550000001"/>
    <s v="Overdue"/>
    <x v="0"/>
  </r>
  <r>
    <s v="PO0101"/>
    <x v="72"/>
    <x v="0"/>
    <x v="0"/>
    <x v="0"/>
    <x v="0"/>
    <s v="Japan"/>
    <n v="18"/>
    <n v="75949.279999999999"/>
    <n v="1367087.04"/>
    <x v="2"/>
    <d v="2025-05-15T00:00:00"/>
    <n v="11946218.99"/>
    <s v="Pending"/>
    <x v="0"/>
  </r>
  <r>
    <s v="PO0102"/>
    <x v="76"/>
    <x v="5"/>
    <x v="5"/>
    <x v="10"/>
    <x v="0"/>
    <s v="Japan"/>
    <n v="117"/>
    <n v="229555.92"/>
    <n v="26858042.640000001"/>
    <x v="0"/>
    <d v="2025-01-15T00:00:00"/>
    <n v="10027213.210000001"/>
    <s v="Pending"/>
    <x v="0"/>
  </r>
  <r>
    <s v="PO0103"/>
    <x v="27"/>
    <x v="3"/>
    <x v="3"/>
    <x v="3"/>
    <x v="4"/>
    <s v="China"/>
    <n v="392"/>
    <n v="133396.1"/>
    <n v="52291271.200000003"/>
    <x v="0"/>
    <d v="2025-02-16T00:00:00"/>
    <n v="31864931.789999999"/>
    <s v="Pending"/>
    <x v="4"/>
  </r>
  <r>
    <s v="PO0104"/>
    <x v="6"/>
    <x v="3"/>
    <x v="3"/>
    <x v="4"/>
    <x v="2"/>
    <s v="India"/>
    <n v="370"/>
    <n v="94471.19"/>
    <n v="34954340.299999997"/>
    <x v="1"/>
    <d v="2025-06-28T00:00:00"/>
    <n v="16458434.119999999"/>
    <s v="Pending"/>
    <x v="2"/>
  </r>
  <r>
    <s v="PO0105"/>
    <x v="17"/>
    <x v="5"/>
    <x v="5"/>
    <x v="11"/>
    <x v="4"/>
    <s v="China"/>
    <n v="11"/>
    <n v="237740.1"/>
    <n v="2615141.1"/>
    <x v="1"/>
    <d v="2025-02-18T00:00:00"/>
    <n v="39626995.490000002"/>
    <s v="Pending"/>
    <x v="4"/>
  </r>
  <r>
    <s v="PO0106"/>
    <x v="23"/>
    <x v="5"/>
    <x v="5"/>
    <x v="10"/>
    <x v="5"/>
    <s v="UAE"/>
    <n v="82"/>
    <n v="106964.39"/>
    <n v="8771079.9800000004"/>
    <x v="1"/>
    <d v="2025-02-04T00:00:00"/>
    <n v="38436459.829999998"/>
    <s v="Paid"/>
    <x v="5"/>
  </r>
  <r>
    <s v="PO0107"/>
    <x v="77"/>
    <x v="1"/>
    <x v="1"/>
    <x v="6"/>
    <x v="2"/>
    <s v="India"/>
    <n v="176"/>
    <n v="188929.84"/>
    <n v="33251651.84"/>
    <x v="0"/>
    <d v="2025-06-17T00:00:00"/>
    <n v="42928619.539999999"/>
    <s v="Pending"/>
    <x v="2"/>
  </r>
  <r>
    <s v="PO0108"/>
    <x v="78"/>
    <x v="2"/>
    <x v="2"/>
    <x v="2"/>
    <x v="5"/>
    <s v="UAE"/>
    <n v="158"/>
    <n v="67036.990000000005"/>
    <n v="10591844.42"/>
    <x v="1"/>
    <d v="2025-05-28T00:00:00"/>
    <n v="26120480.41"/>
    <s v="Overdue"/>
    <x v="5"/>
  </r>
  <r>
    <s v="PO0109"/>
    <x v="79"/>
    <x v="5"/>
    <x v="5"/>
    <x v="11"/>
    <x v="3"/>
    <s v="Australia"/>
    <n v="483"/>
    <n v="109872.92"/>
    <n v="53068620.359999999"/>
    <x v="0"/>
    <d v="2025-02-01T00:00:00"/>
    <n v="12676376.560000001"/>
    <s v="Overdue"/>
    <x v="3"/>
  </r>
  <r>
    <s v="PO0110"/>
    <x v="21"/>
    <x v="0"/>
    <x v="0"/>
    <x v="0"/>
    <x v="2"/>
    <s v="India"/>
    <n v="437"/>
    <n v="167184.65"/>
    <n v="73059692.049999997"/>
    <x v="0"/>
    <d v="2025-06-16T00:00:00"/>
    <n v="42844309.359999999"/>
    <s v="Overdue"/>
    <x v="2"/>
  </r>
  <r>
    <s v="PO0111"/>
    <x v="80"/>
    <x v="2"/>
    <x v="2"/>
    <x v="9"/>
    <x v="0"/>
    <s v="Japan"/>
    <n v="271"/>
    <n v="82322.34"/>
    <n v="22309354.140000001"/>
    <x v="1"/>
    <d v="2025-07-29T00:00:00"/>
    <n v="18636164.449999999"/>
    <s v="Pending"/>
    <x v="0"/>
  </r>
  <r>
    <s v="PO0112"/>
    <x v="8"/>
    <x v="1"/>
    <x v="1"/>
    <x v="6"/>
    <x v="1"/>
    <s v="France"/>
    <n v="291"/>
    <n v="54841.77"/>
    <n v="15958955.07"/>
    <x v="0"/>
    <d v="2025-04-10T00:00:00"/>
    <n v="28910289.539999999"/>
    <s v="Pending"/>
    <x v="1"/>
  </r>
  <r>
    <s v="PO0113"/>
    <x v="81"/>
    <x v="4"/>
    <x v="4"/>
    <x v="7"/>
    <x v="0"/>
    <s v="Japan"/>
    <n v="324"/>
    <n v="189403.66"/>
    <n v="61366785.840000004"/>
    <x v="1"/>
    <d v="2025-03-31T00:00:00"/>
    <n v="38255495.68"/>
    <s v="Pending"/>
    <x v="0"/>
  </r>
  <r>
    <s v="PO0114"/>
    <x v="82"/>
    <x v="5"/>
    <x v="5"/>
    <x v="11"/>
    <x v="1"/>
    <s v="France"/>
    <n v="75"/>
    <n v="46836.89"/>
    <n v="3512766.75"/>
    <x v="1"/>
    <d v="2025-03-05T00:00:00"/>
    <n v="8920127.3300000001"/>
    <s v="Overdue"/>
    <x v="1"/>
  </r>
  <r>
    <s v="PO0115"/>
    <x v="83"/>
    <x v="0"/>
    <x v="0"/>
    <x v="5"/>
    <x v="3"/>
    <s v="Australia"/>
    <n v="388"/>
    <n v="185992.59"/>
    <n v="72165124.920000002"/>
    <x v="1"/>
    <d v="2025-01-18T00:00:00"/>
    <n v="14889531.75"/>
    <s v="Overdue"/>
    <x v="3"/>
  </r>
  <r>
    <s v="PO0116"/>
    <x v="84"/>
    <x v="5"/>
    <x v="5"/>
    <x v="11"/>
    <x v="3"/>
    <s v="Australia"/>
    <n v="257"/>
    <n v="141543.82"/>
    <n v="36376761.740000002"/>
    <x v="0"/>
    <d v="2025-03-11T00:00:00"/>
    <n v="15572614.84"/>
    <s v="Overdue"/>
    <x v="3"/>
  </r>
  <r>
    <s v="PO0117"/>
    <x v="6"/>
    <x v="2"/>
    <x v="2"/>
    <x v="2"/>
    <x v="2"/>
    <s v="India"/>
    <n v="116"/>
    <n v="127648.17"/>
    <n v="14807187.720000001"/>
    <x v="2"/>
    <d v="2025-06-24T00:00:00"/>
    <n v="44796576.710000001"/>
    <s v="Overdue"/>
    <x v="2"/>
  </r>
  <r>
    <s v="PO0118"/>
    <x v="16"/>
    <x v="2"/>
    <x v="2"/>
    <x v="9"/>
    <x v="3"/>
    <s v="Australia"/>
    <n v="398"/>
    <n v="115240.31"/>
    <n v="45865643.380000003"/>
    <x v="2"/>
    <d v="2025-01-06T00:00:00"/>
    <n v="37381277.25"/>
    <s v="Paid"/>
    <x v="3"/>
  </r>
  <r>
    <s v="PO0119"/>
    <x v="28"/>
    <x v="2"/>
    <x v="2"/>
    <x v="2"/>
    <x v="2"/>
    <s v="India"/>
    <n v="99"/>
    <n v="88779.03"/>
    <n v="8789123.9700000007"/>
    <x v="1"/>
    <d v="2025-02-13T00:00:00"/>
    <n v="14619483.789999999"/>
    <s v="Overdue"/>
    <x v="2"/>
  </r>
  <r>
    <s v="PO0120"/>
    <x v="64"/>
    <x v="2"/>
    <x v="2"/>
    <x v="9"/>
    <x v="3"/>
    <s v="Australia"/>
    <n v="424"/>
    <n v="144556.35"/>
    <n v="61291892.399999999"/>
    <x v="2"/>
    <d v="2025-04-26T00:00:00"/>
    <n v="20942579.57"/>
    <s v="Pending"/>
    <x v="3"/>
  </r>
  <r>
    <s v="PO0121"/>
    <x v="23"/>
    <x v="5"/>
    <x v="5"/>
    <x v="10"/>
    <x v="0"/>
    <s v="Japan"/>
    <n v="391"/>
    <n v="133421.19"/>
    <n v="52167685.289999999"/>
    <x v="1"/>
    <d v="2025-01-18T00:00:00"/>
    <n v="6687962.3399999999"/>
    <s v="Paid"/>
    <x v="0"/>
  </r>
  <r>
    <s v="PO0122"/>
    <x v="27"/>
    <x v="0"/>
    <x v="0"/>
    <x v="0"/>
    <x v="0"/>
    <s v="Japan"/>
    <n v="152"/>
    <n v="145698.79"/>
    <n v="22146216.079999998"/>
    <x v="0"/>
    <d v="2025-06-11T00:00:00"/>
    <n v="32690110.449999999"/>
    <s v="Paid"/>
    <x v="0"/>
  </r>
  <r>
    <s v="PO0123"/>
    <x v="85"/>
    <x v="4"/>
    <x v="4"/>
    <x v="8"/>
    <x v="2"/>
    <s v="India"/>
    <n v="148"/>
    <n v="224713.58"/>
    <n v="33257609.84"/>
    <x v="1"/>
    <d v="2025-01-19T00:00:00"/>
    <n v="230513.12"/>
    <s v="Pending"/>
    <x v="2"/>
  </r>
  <r>
    <s v="PO0124"/>
    <x v="64"/>
    <x v="4"/>
    <x v="4"/>
    <x v="7"/>
    <x v="0"/>
    <s v="Japan"/>
    <n v="498"/>
    <n v="81443.92"/>
    <n v="40559072.159999996"/>
    <x v="0"/>
    <d v="2025-03-24T00:00:00"/>
    <n v="5407496.3499999996"/>
    <s v="Pending"/>
    <x v="0"/>
  </r>
  <r>
    <s v="PO0125"/>
    <x v="63"/>
    <x v="1"/>
    <x v="1"/>
    <x v="6"/>
    <x v="5"/>
    <s v="UAE"/>
    <n v="401"/>
    <n v="224445.65"/>
    <n v="90002705.650000006"/>
    <x v="2"/>
    <d v="2025-05-22T00:00:00"/>
    <n v="11290522.220000001"/>
    <s v="Overdue"/>
    <x v="5"/>
  </r>
  <r>
    <s v="PO0126"/>
    <x v="86"/>
    <x v="5"/>
    <x v="5"/>
    <x v="11"/>
    <x v="2"/>
    <s v="India"/>
    <n v="210"/>
    <n v="232908.43"/>
    <n v="48910770.299999997"/>
    <x v="1"/>
    <d v="2025-03-24T00:00:00"/>
    <n v="29495671.210000001"/>
    <s v="Paid"/>
    <x v="2"/>
  </r>
  <r>
    <s v="PO0127"/>
    <x v="87"/>
    <x v="5"/>
    <x v="5"/>
    <x v="11"/>
    <x v="2"/>
    <s v="India"/>
    <n v="124"/>
    <n v="42822.7"/>
    <n v="5310014.8"/>
    <x v="2"/>
    <d v="2025-04-09T00:00:00"/>
    <n v="31234084.989999998"/>
    <s v="Pending"/>
    <x v="2"/>
  </r>
  <r>
    <s v="PO0128"/>
    <x v="88"/>
    <x v="1"/>
    <x v="1"/>
    <x v="6"/>
    <x v="2"/>
    <s v="India"/>
    <n v="292"/>
    <n v="195331.1"/>
    <n v="57036681.200000003"/>
    <x v="0"/>
    <d v="2025-02-15T00:00:00"/>
    <n v="6823960"/>
    <s v="Paid"/>
    <x v="2"/>
  </r>
  <r>
    <s v="PO0129"/>
    <x v="20"/>
    <x v="2"/>
    <x v="2"/>
    <x v="2"/>
    <x v="5"/>
    <s v="UAE"/>
    <n v="376"/>
    <n v="79426.649999999994"/>
    <n v="29864420.399999999"/>
    <x v="2"/>
    <d v="2025-07-06T00:00:00"/>
    <n v="7550722.7300000004"/>
    <s v="Paid"/>
    <x v="5"/>
  </r>
  <r>
    <s v="PO0130"/>
    <x v="89"/>
    <x v="0"/>
    <x v="0"/>
    <x v="5"/>
    <x v="5"/>
    <s v="UAE"/>
    <n v="401"/>
    <n v="32472.51"/>
    <n v="13021476.51"/>
    <x v="1"/>
    <d v="2025-01-22T00:00:00"/>
    <n v="31946683.82"/>
    <s v="Overdue"/>
    <x v="5"/>
  </r>
  <r>
    <s v="PO0131"/>
    <x v="90"/>
    <x v="3"/>
    <x v="3"/>
    <x v="3"/>
    <x v="0"/>
    <s v="Japan"/>
    <n v="143"/>
    <n v="59777.84"/>
    <n v="8548231.1199999992"/>
    <x v="0"/>
    <d v="2025-07-25T00:00:00"/>
    <n v="13561031.1"/>
    <s v="Pending"/>
    <x v="0"/>
  </r>
  <r>
    <s v="PO0132"/>
    <x v="91"/>
    <x v="1"/>
    <x v="1"/>
    <x v="6"/>
    <x v="0"/>
    <s v="Japan"/>
    <n v="152"/>
    <n v="239940.29"/>
    <n v="36470924.079999998"/>
    <x v="0"/>
    <d v="2025-01-08T00:00:00"/>
    <n v="2900915.1"/>
    <s v="Overdue"/>
    <x v="0"/>
  </r>
  <r>
    <s v="PO0133"/>
    <x v="92"/>
    <x v="5"/>
    <x v="5"/>
    <x v="11"/>
    <x v="1"/>
    <s v="France"/>
    <n v="136"/>
    <n v="12173.81"/>
    <n v="1655638.16"/>
    <x v="2"/>
    <d v="2025-04-05T00:00:00"/>
    <n v="29776740.829999998"/>
    <s v="Overdue"/>
    <x v="1"/>
  </r>
  <r>
    <s v="PO0134"/>
    <x v="93"/>
    <x v="4"/>
    <x v="4"/>
    <x v="7"/>
    <x v="2"/>
    <s v="India"/>
    <n v="21"/>
    <n v="52558.23"/>
    <n v="1103722.83"/>
    <x v="2"/>
    <d v="2025-04-29T00:00:00"/>
    <n v="30133885.170000002"/>
    <s v="Overdue"/>
    <x v="2"/>
  </r>
  <r>
    <s v="PO0135"/>
    <x v="94"/>
    <x v="5"/>
    <x v="5"/>
    <x v="11"/>
    <x v="3"/>
    <s v="Australia"/>
    <n v="126"/>
    <n v="168501.99"/>
    <n v="21231250.739999998"/>
    <x v="0"/>
    <d v="2025-07-12T00:00:00"/>
    <n v="24693297.91"/>
    <s v="Paid"/>
    <x v="3"/>
  </r>
  <r>
    <s v="PO0136"/>
    <x v="27"/>
    <x v="5"/>
    <x v="5"/>
    <x v="11"/>
    <x v="5"/>
    <s v="UAE"/>
    <n v="183"/>
    <n v="180991.4"/>
    <n v="33121426.199999999"/>
    <x v="2"/>
    <d v="2025-01-06T00:00:00"/>
    <n v="2295698.91"/>
    <s v="Overdue"/>
    <x v="5"/>
  </r>
  <r>
    <s v="PO0137"/>
    <x v="46"/>
    <x v="5"/>
    <x v="5"/>
    <x v="11"/>
    <x v="2"/>
    <s v="India"/>
    <n v="418"/>
    <n v="76567.25"/>
    <n v="32005110.5"/>
    <x v="0"/>
    <d v="2025-01-12T00:00:00"/>
    <n v="20358837.350000001"/>
    <s v="Paid"/>
    <x v="2"/>
  </r>
  <r>
    <s v="PO0138"/>
    <x v="30"/>
    <x v="2"/>
    <x v="2"/>
    <x v="9"/>
    <x v="4"/>
    <s v="China"/>
    <n v="169"/>
    <n v="192634.99"/>
    <n v="32555313.309999999"/>
    <x v="0"/>
    <d v="2025-02-15T00:00:00"/>
    <n v="3013121.09"/>
    <s v="Paid"/>
    <x v="4"/>
  </r>
  <r>
    <s v="PO0139"/>
    <x v="95"/>
    <x v="5"/>
    <x v="5"/>
    <x v="11"/>
    <x v="3"/>
    <s v="Australia"/>
    <n v="399"/>
    <n v="222886.8"/>
    <n v="88931833.200000003"/>
    <x v="2"/>
    <d v="2025-01-09T00:00:00"/>
    <n v="30670715.43"/>
    <s v="Overdue"/>
    <x v="3"/>
  </r>
  <r>
    <s v="PO0140"/>
    <x v="48"/>
    <x v="5"/>
    <x v="5"/>
    <x v="11"/>
    <x v="4"/>
    <s v="China"/>
    <n v="258"/>
    <n v="107172.13"/>
    <n v="27650409.539999999"/>
    <x v="0"/>
    <d v="2025-02-25T00:00:00"/>
    <n v="7199100.5899999999"/>
    <s v="Paid"/>
    <x v="4"/>
  </r>
  <r>
    <s v="PO0141"/>
    <x v="96"/>
    <x v="3"/>
    <x v="3"/>
    <x v="3"/>
    <x v="0"/>
    <s v="Japan"/>
    <n v="37"/>
    <n v="57172.52"/>
    <n v="2115383.2400000002"/>
    <x v="0"/>
    <d v="2025-05-18T00:00:00"/>
    <n v="30443340.190000001"/>
    <s v="Overdue"/>
    <x v="0"/>
  </r>
  <r>
    <s v="PO0142"/>
    <x v="97"/>
    <x v="5"/>
    <x v="5"/>
    <x v="11"/>
    <x v="5"/>
    <s v="UAE"/>
    <n v="40"/>
    <n v="50105.68"/>
    <n v="2004227.2"/>
    <x v="2"/>
    <d v="2025-06-20T00:00:00"/>
    <n v="32114341.390000001"/>
    <s v="Overdue"/>
    <x v="5"/>
  </r>
  <r>
    <s v="PO0143"/>
    <x v="5"/>
    <x v="0"/>
    <x v="0"/>
    <x v="0"/>
    <x v="2"/>
    <s v="India"/>
    <n v="486"/>
    <n v="45580.27"/>
    <n v="22152011.219999999"/>
    <x v="0"/>
    <d v="2025-02-19T00:00:00"/>
    <n v="25477943.170000002"/>
    <s v="Paid"/>
    <x v="2"/>
  </r>
  <r>
    <s v="PO0144"/>
    <x v="23"/>
    <x v="4"/>
    <x v="4"/>
    <x v="7"/>
    <x v="2"/>
    <s v="India"/>
    <n v="169"/>
    <n v="167785.32"/>
    <n v="28355719.079999998"/>
    <x v="1"/>
    <d v="2025-03-23T00:00:00"/>
    <n v="31335594.359999999"/>
    <s v="Overdue"/>
    <x v="2"/>
  </r>
  <r>
    <s v="PO0145"/>
    <x v="98"/>
    <x v="0"/>
    <x v="0"/>
    <x v="5"/>
    <x v="4"/>
    <s v="China"/>
    <n v="65"/>
    <n v="5703.33"/>
    <n v="370716.45"/>
    <x v="0"/>
    <d v="2025-07-25T00:00:00"/>
    <n v="23948470.91"/>
    <s v="Overdue"/>
    <x v="4"/>
  </r>
  <r>
    <s v="PO0146"/>
    <x v="76"/>
    <x v="0"/>
    <x v="0"/>
    <x v="5"/>
    <x v="2"/>
    <s v="India"/>
    <n v="297"/>
    <n v="241246.45"/>
    <n v="71650195.650000006"/>
    <x v="1"/>
    <d v="2025-01-07T00:00:00"/>
    <n v="18820421.170000002"/>
    <s v="Pending"/>
    <x v="2"/>
  </r>
  <r>
    <s v="PO0147"/>
    <x v="63"/>
    <x v="0"/>
    <x v="0"/>
    <x v="5"/>
    <x v="0"/>
    <s v="Japan"/>
    <n v="54"/>
    <n v="17068.05"/>
    <n v="921674.7"/>
    <x v="0"/>
    <d v="2025-07-15T00:00:00"/>
    <n v="45621759.840000004"/>
    <s v="Paid"/>
    <x v="0"/>
  </r>
  <r>
    <s v="PO0148"/>
    <x v="63"/>
    <x v="0"/>
    <x v="0"/>
    <x v="5"/>
    <x v="4"/>
    <s v="China"/>
    <n v="175"/>
    <n v="94240.97"/>
    <n v="16492169.75"/>
    <x v="0"/>
    <d v="2025-07-14T00:00:00"/>
    <n v="32811009.91"/>
    <s v="Paid"/>
    <x v="4"/>
  </r>
  <r>
    <s v="PO0149"/>
    <x v="99"/>
    <x v="4"/>
    <x v="4"/>
    <x v="7"/>
    <x v="4"/>
    <s v="China"/>
    <n v="425"/>
    <n v="158225.03"/>
    <n v="67245637.75"/>
    <x v="0"/>
    <d v="2025-03-04T00:00:00"/>
    <n v="49830862.869999997"/>
    <s v="Pending"/>
    <x v="4"/>
  </r>
  <r>
    <s v="PO0150"/>
    <x v="12"/>
    <x v="5"/>
    <x v="5"/>
    <x v="11"/>
    <x v="0"/>
    <s v="Japan"/>
    <n v="42"/>
    <n v="201817.83"/>
    <n v="8476348.8599999994"/>
    <x v="1"/>
    <d v="2025-03-06T00:00:00"/>
    <n v="32236585.68"/>
    <s v="Paid"/>
    <x v="0"/>
  </r>
  <r>
    <m/>
    <x v="100"/>
    <x v="6"/>
    <x v="6"/>
    <x v="12"/>
    <x v="6"/>
    <m/>
    <m/>
    <m/>
    <m/>
    <x v="3"/>
    <m/>
    <m/>
    <m/>
    <x v="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d v="2025-05-18T00:00:00"/>
    <x v="0"/>
    <x v="0"/>
    <x v="0"/>
    <x v="0"/>
    <x v="0"/>
    <n v="343"/>
    <n v="16830.169999999998"/>
    <n v="5772748.3099999996"/>
    <s v="Open"/>
    <d v="2025-07-23T00:00:00"/>
    <n v="19387087.960000001"/>
    <s v="Pending"/>
    <x v="0"/>
  </r>
  <r>
    <d v="2025-04-22T00:00:00"/>
    <x v="0"/>
    <x v="0"/>
    <x v="0"/>
    <x v="1"/>
    <x v="1"/>
    <n v="119"/>
    <n v="14186.44"/>
    <n v="1688186.36"/>
    <s v="Closed"/>
    <d v="2025-04-26T00:00:00"/>
    <n v="40758532.539999999"/>
    <s v="Paid"/>
    <x v="1"/>
  </r>
  <r>
    <d v="2025-05-25T00:00:00"/>
    <x v="1"/>
    <x v="1"/>
    <x v="1"/>
    <x v="2"/>
    <x v="2"/>
    <n v="292"/>
    <n v="109007.2"/>
    <n v="31830102.399999999"/>
    <s v="Open"/>
    <d v="2025-05-13T00:00:00"/>
    <n v="9228667.6500000004"/>
    <s v="Overdue"/>
    <x v="2"/>
  </r>
  <r>
    <d v="2025-02-26T00:00:00"/>
    <x v="2"/>
    <x v="2"/>
    <x v="2"/>
    <x v="1"/>
    <x v="1"/>
    <n v="309"/>
    <n v="102186.72"/>
    <n v="31575696.48"/>
    <s v="Open"/>
    <d v="2025-03-24T00:00:00"/>
    <n v="41155487.100000001"/>
    <s v="Paid"/>
    <x v="1"/>
  </r>
  <r>
    <d v="2025-01-31T00:00:00"/>
    <x v="3"/>
    <x v="3"/>
    <x v="3"/>
    <x v="3"/>
    <x v="3"/>
    <n v="224"/>
    <n v="40342.5"/>
    <n v="9036720"/>
    <s v="In Transit"/>
    <d v="2025-06-10T00:00:00"/>
    <n v="11883511.310000001"/>
    <s v="Pending"/>
    <x v="3"/>
  </r>
  <r>
    <d v="2025-02-18T00:00:00"/>
    <x v="0"/>
    <x v="0"/>
    <x v="0"/>
    <x v="2"/>
    <x v="2"/>
    <n v="307"/>
    <n v="144945.07999999999"/>
    <n v="44498139.560000002"/>
    <s v="Closed"/>
    <d v="2025-05-03T00:00:00"/>
    <n v="18156736.199999999"/>
    <s v="Overdue"/>
    <x v="2"/>
  </r>
  <r>
    <d v="2025-05-08T00:00:00"/>
    <x v="1"/>
    <x v="1"/>
    <x v="1"/>
    <x v="1"/>
    <x v="1"/>
    <n v="40"/>
    <n v="156657.35"/>
    <n v="6266294"/>
    <s v="In Transit"/>
    <d v="2025-01-26T00:00:00"/>
    <n v="25643050.530000001"/>
    <s v="Pending"/>
    <x v="1"/>
  </r>
  <r>
    <d v="2025-04-27T00:00:00"/>
    <x v="3"/>
    <x v="3"/>
    <x v="4"/>
    <x v="3"/>
    <x v="3"/>
    <n v="248"/>
    <n v="148462.66"/>
    <n v="36818739.68"/>
    <s v="Closed"/>
    <d v="2025-07-17T00:00:00"/>
    <n v="8080875.4400000004"/>
    <s v="Pending"/>
    <x v="3"/>
  </r>
  <r>
    <d v="2025-01-21T00:00:00"/>
    <x v="0"/>
    <x v="0"/>
    <x v="0"/>
    <x v="4"/>
    <x v="4"/>
    <n v="367"/>
    <n v="196058.26"/>
    <n v="71953381.420000002"/>
    <s v="In Transit"/>
    <d v="2025-01-22T00:00:00"/>
    <n v="32512345.280000001"/>
    <s v="Pending"/>
    <x v="4"/>
  </r>
  <r>
    <d v="2025-06-05T00:00:00"/>
    <x v="0"/>
    <x v="0"/>
    <x v="5"/>
    <x v="3"/>
    <x v="3"/>
    <n v="383"/>
    <n v="114964.38"/>
    <n v="44031357.539999999"/>
    <s v="Open"/>
    <d v="2025-05-27T00:00:00"/>
    <n v="27276369.32"/>
    <s v="Paid"/>
    <x v="3"/>
  </r>
  <r>
    <d v="2025-05-06T00:00:00"/>
    <x v="1"/>
    <x v="1"/>
    <x v="6"/>
    <x v="4"/>
    <x v="4"/>
    <n v="397"/>
    <n v="88803.67"/>
    <n v="35255056.990000002"/>
    <s v="Closed"/>
    <d v="2025-04-25T00:00:00"/>
    <n v="44185383.859999999"/>
    <s v="Paid"/>
    <x v="4"/>
  </r>
  <r>
    <d v="2025-03-22T00:00:00"/>
    <x v="1"/>
    <x v="1"/>
    <x v="1"/>
    <x v="1"/>
    <x v="1"/>
    <n v="303"/>
    <n v="198328.07"/>
    <n v="60093405.210000001"/>
    <s v="Closed"/>
    <d v="2025-03-14T00:00:00"/>
    <n v="31267618.510000002"/>
    <s v="Paid"/>
    <x v="1"/>
  </r>
  <r>
    <d v="2025-04-27T00:00:00"/>
    <x v="4"/>
    <x v="4"/>
    <x v="7"/>
    <x v="1"/>
    <x v="1"/>
    <n v="264"/>
    <n v="147074.32999999999"/>
    <n v="38827623.119999997"/>
    <s v="Open"/>
    <d v="2025-01-30T00:00:00"/>
    <n v="21110907.739999998"/>
    <s v="Overdue"/>
    <x v="1"/>
  </r>
  <r>
    <d v="2025-01-16T00:00:00"/>
    <x v="1"/>
    <x v="1"/>
    <x v="6"/>
    <x v="0"/>
    <x v="0"/>
    <n v="366"/>
    <n v="167717.29"/>
    <n v="61384528.140000001"/>
    <s v="In Transit"/>
    <d v="2025-04-30T00:00:00"/>
    <n v="8742273.9199999999"/>
    <s v="Paid"/>
    <x v="0"/>
  </r>
  <r>
    <d v="2025-04-25T00:00:00"/>
    <x v="4"/>
    <x v="4"/>
    <x v="7"/>
    <x v="5"/>
    <x v="5"/>
    <n v="305"/>
    <n v="248308.51"/>
    <n v="75734095.549999997"/>
    <s v="Closed"/>
    <d v="2025-04-22T00:00:00"/>
    <n v="23100095.91"/>
    <s v="Overdue"/>
    <x v="5"/>
  </r>
  <r>
    <d v="2025-04-29T00:00:00"/>
    <x v="4"/>
    <x v="4"/>
    <x v="7"/>
    <x v="5"/>
    <x v="5"/>
    <n v="187"/>
    <n v="10527.92"/>
    <n v="1968721.04"/>
    <s v="Closed"/>
    <d v="2025-03-07T00:00:00"/>
    <n v="37424054.530000001"/>
    <s v="Overdue"/>
    <x v="5"/>
  </r>
  <r>
    <d v="2025-03-15T00:00:00"/>
    <x v="2"/>
    <x v="2"/>
    <x v="2"/>
    <x v="0"/>
    <x v="0"/>
    <n v="40"/>
    <n v="58460.9"/>
    <n v="2338436"/>
    <s v="Open"/>
    <d v="2025-07-19T00:00:00"/>
    <n v="6146120.4000000004"/>
    <s v="Pending"/>
    <x v="0"/>
  </r>
  <r>
    <d v="2025-05-08T00:00:00"/>
    <x v="4"/>
    <x v="4"/>
    <x v="8"/>
    <x v="0"/>
    <x v="0"/>
    <n v="210"/>
    <n v="229619.98"/>
    <n v="48220195.799999997"/>
    <s v="Open"/>
    <d v="2025-03-22T00:00:00"/>
    <n v="14041905.84"/>
    <s v="Pending"/>
    <x v="0"/>
  </r>
  <r>
    <d v="2025-02-05T00:00:00"/>
    <x v="2"/>
    <x v="2"/>
    <x v="9"/>
    <x v="0"/>
    <x v="0"/>
    <n v="291"/>
    <n v="73070.59"/>
    <n v="21263541.690000001"/>
    <s v="Closed"/>
    <d v="2025-04-11T00:00:00"/>
    <n v="12777419.539999999"/>
    <s v="Pending"/>
    <x v="0"/>
  </r>
  <r>
    <d v="2025-06-24T00:00:00"/>
    <x v="3"/>
    <x v="3"/>
    <x v="4"/>
    <x v="5"/>
    <x v="5"/>
    <n v="222"/>
    <n v="246684.43"/>
    <n v="54763943.460000001"/>
    <s v="Closed"/>
    <d v="2025-02-25T00:00:00"/>
    <n v="22025948.300000001"/>
    <s v="Paid"/>
    <x v="5"/>
  </r>
  <r>
    <d v="2025-06-18T00:00:00"/>
    <x v="2"/>
    <x v="2"/>
    <x v="2"/>
    <x v="2"/>
    <x v="2"/>
    <n v="100"/>
    <n v="42068.1"/>
    <n v="4206810"/>
    <s v="Open"/>
    <d v="2025-03-09T00:00:00"/>
    <n v="11851650.1"/>
    <s v="Pending"/>
    <x v="2"/>
  </r>
  <r>
    <d v="2025-01-02T00:00:00"/>
    <x v="1"/>
    <x v="1"/>
    <x v="6"/>
    <x v="1"/>
    <x v="1"/>
    <n v="103"/>
    <n v="69372.92"/>
    <n v="7145410.7599999998"/>
    <s v="Open"/>
    <d v="2025-06-03T00:00:00"/>
    <n v="9493681.6999999993"/>
    <s v="Paid"/>
    <x v="1"/>
  </r>
  <r>
    <d v="2025-02-02T00:00:00"/>
    <x v="5"/>
    <x v="5"/>
    <x v="10"/>
    <x v="1"/>
    <x v="1"/>
    <n v="299"/>
    <n v="83059.86"/>
    <n v="24834898.140000001"/>
    <s v="In Transit"/>
    <d v="2025-04-17T00:00:00"/>
    <n v="12657521.91"/>
    <s v="Paid"/>
    <x v="1"/>
  </r>
  <r>
    <d v="2025-06-24T00:00:00"/>
    <x v="3"/>
    <x v="3"/>
    <x v="3"/>
    <x v="0"/>
    <x v="0"/>
    <n v="470"/>
    <n v="218389.98"/>
    <n v="102643290.59999999"/>
    <s v="In Transit"/>
    <d v="2025-05-15T00:00:00"/>
    <n v="26362806.469999999"/>
    <s v="Overdue"/>
    <x v="0"/>
  </r>
  <r>
    <d v="2025-06-12T00:00:00"/>
    <x v="5"/>
    <x v="5"/>
    <x v="10"/>
    <x v="0"/>
    <x v="0"/>
    <n v="211"/>
    <n v="30366.59"/>
    <n v="6407350.4900000002"/>
    <s v="Closed"/>
    <d v="2025-01-31T00:00:00"/>
    <n v="32700994.949999999"/>
    <s v="Paid"/>
    <x v="0"/>
  </r>
  <r>
    <d v="2025-01-29T00:00:00"/>
    <x v="1"/>
    <x v="1"/>
    <x v="1"/>
    <x v="2"/>
    <x v="2"/>
    <n v="116"/>
    <n v="112953.58"/>
    <n v="13102615.279999999"/>
    <s v="Closed"/>
    <d v="2025-02-01T00:00:00"/>
    <n v="324155.8"/>
    <s v="Paid"/>
    <x v="2"/>
  </r>
  <r>
    <d v="2025-05-18T00:00:00"/>
    <x v="3"/>
    <x v="3"/>
    <x v="3"/>
    <x v="2"/>
    <x v="2"/>
    <n v="10"/>
    <n v="143861.98000000001"/>
    <n v="1438619.8"/>
    <s v="Open"/>
    <d v="2025-04-30T00:00:00"/>
    <n v="45727340.140000001"/>
    <s v="Paid"/>
    <x v="2"/>
  </r>
  <r>
    <d v="2025-04-07T00:00:00"/>
    <x v="0"/>
    <x v="0"/>
    <x v="0"/>
    <x v="2"/>
    <x v="2"/>
    <n v="457"/>
    <n v="55948.41"/>
    <n v="25568423.370000001"/>
    <s v="Open"/>
    <d v="2025-03-22T00:00:00"/>
    <n v="11721344.640000001"/>
    <s v="Paid"/>
    <x v="2"/>
  </r>
  <r>
    <d v="2025-02-01T00:00:00"/>
    <x v="4"/>
    <x v="4"/>
    <x v="7"/>
    <x v="3"/>
    <x v="3"/>
    <n v="318"/>
    <n v="94220.04"/>
    <n v="29961972.719999999"/>
    <s v="Open"/>
    <d v="2025-02-23T00:00:00"/>
    <n v="30064616.25"/>
    <s v="Overdue"/>
    <x v="3"/>
  </r>
  <r>
    <d v="2025-02-06T00:00:00"/>
    <x v="5"/>
    <x v="5"/>
    <x v="10"/>
    <x v="0"/>
    <x v="0"/>
    <n v="257"/>
    <n v="81403.820000000007"/>
    <n v="20920781.739999998"/>
    <s v="Open"/>
    <d v="2025-02-24T00:00:00"/>
    <n v="46515670.020000003"/>
    <s v="Pending"/>
    <x v="0"/>
  </r>
  <r>
    <d v="2025-06-27T00:00:00"/>
    <x v="4"/>
    <x v="4"/>
    <x v="7"/>
    <x v="5"/>
    <x v="5"/>
    <n v="145"/>
    <n v="122262.38"/>
    <n v="17728045.100000001"/>
    <s v="Open"/>
    <d v="2025-05-17T00:00:00"/>
    <n v="43319753.689999998"/>
    <s v="Pending"/>
    <x v="5"/>
  </r>
  <r>
    <d v="2025-04-03T00:00:00"/>
    <x v="3"/>
    <x v="3"/>
    <x v="3"/>
    <x v="4"/>
    <x v="4"/>
    <n v="496"/>
    <n v="238245.13"/>
    <n v="118169584.48"/>
    <s v="Open"/>
    <d v="2025-06-09T00:00:00"/>
    <n v="13071416.289999999"/>
    <s v="Overdue"/>
    <x v="4"/>
  </r>
  <r>
    <d v="2025-01-24T00:00:00"/>
    <x v="4"/>
    <x v="4"/>
    <x v="8"/>
    <x v="1"/>
    <x v="1"/>
    <n v="162"/>
    <n v="244732.79999999999"/>
    <n v="39646713.600000001"/>
    <s v="In Transit"/>
    <d v="2025-01-07T00:00:00"/>
    <n v="5378425.1100000003"/>
    <s v="Overdue"/>
    <x v="1"/>
  </r>
  <r>
    <d v="2025-05-17T00:00:00"/>
    <x v="0"/>
    <x v="0"/>
    <x v="5"/>
    <x v="4"/>
    <x v="4"/>
    <n v="192"/>
    <n v="194124.79"/>
    <n v="37271959.68"/>
    <s v="In Transit"/>
    <d v="2025-07-06T00:00:00"/>
    <n v="31035404.199999999"/>
    <s v="Paid"/>
    <x v="4"/>
  </r>
  <r>
    <d v="2025-02-19T00:00:00"/>
    <x v="3"/>
    <x v="3"/>
    <x v="4"/>
    <x v="5"/>
    <x v="5"/>
    <n v="124"/>
    <n v="155240.91"/>
    <n v="19249872.84"/>
    <s v="Open"/>
    <d v="2025-01-15T00:00:00"/>
    <n v="18498556.82"/>
    <s v="Paid"/>
    <x v="5"/>
  </r>
  <r>
    <d v="2025-01-08T00:00:00"/>
    <x v="5"/>
    <x v="5"/>
    <x v="11"/>
    <x v="4"/>
    <x v="4"/>
    <n v="275"/>
    <n v="125731.55"/>
    <n v="34576176.25"/>
    <s v="Open"/>
    <d v="2025-01-17T00:00:00"/>
    <n v="10278424.23"/>
    <s v="Pending"/>
    <x v="4"/>
  </r>
  <r>
    <d v="2025-03-30T00:00:00"/>
    <x v="0"/>
    <x v="0"/>
    <x v="5"/>
    <x v="3"/>
    <x v="3"/>
    <n v="109"/>
    <n v="174667.88"/>
    <n v="19038798.920000002"/>
    <s v="Closed"/>
    <d v="2025-01-15T00:00:00"/>
    <n v="30011226.129999999"/>
    <s v="Overdue"/>
    <x v="3"/>
  </r>
  <r>
    <d v="2025-02-28T00:00:00"/>
    <x v="4"/>
    <x v="4"/>
    <x v="7"/>
    <x v="3"/>
    <x v="3"/>
    <n v="51"/>
    <n v="59013.27"/>
    <n v="3009676.77"/>
    <s v="Closed"/>
    <d v="2025-02-27T00:00:00"/>
    <n v="40755711.630000003"/>
    <s v="Pending"/>
    <x v="3"/>
  </r>
  <r>
    <d v="2025-06-06T00:00:00"/>
    <x v="2"/>
    <x v="2"/>
    <x v="9"/>
    <x v="4"/>
    <x v="4"/>
    <n v="257"/>
    <n v="157896.26999999999"/>
    <n v="40579341.390000001"/>
    <s v="Open"/>
    <d v="2025-04-20T00:00:00"/>
    <n v="33948155.030000001"/>
    <s v="Paid"/>
    <x v="4"/>
  </r>
  <r>
    <d v="2025-01-31T00:00:00"/>
    <x v="5"/>
    <x v="5"/>
    <x v="10"/>
    <x v="5"/>
    <x v="5"/>
    <n v="53"/>
    <n v="209488.96"/>
    <n v="11102914.880000001"/>
    <s v="Closed"/>
    <d v="2025-06-13T00:00:00"/>
    <n v="15678567.119999999"/>
    <s v="Paid"/>
    <x v="5"/>
  </r>
  <r>
    <d v="2025-06-12T00:00:00"/>
    <x v="4"/>
    <x v="4"/>
    <x v="8"/>
    <x v="0"/>
    <x v="0"/>
    <n v="465"/>
    <n v="48737.82"/>
    <n v="22663086.300000001"/>
    <s v="Closed"/>
    <d v="2025-01-14T00:00:00"/>
    <n v="39784530.289999999"/>
    <s v="Overdue"/>
    <x v="0"/>
  </r>
  <r>
    <d v="2025-01-22T00:00:00"/>
    <x v="1"/>
    <x v="1"/>
    <x v="6"/>
    <x v="0"/>
    <x v="0"/>
    <n v="215"/>
    <n v="187121.41"/>
    <n v="40231103.149999999"/>
    <s v="In Transit"/>
    <d v="2025-05-09T00:00:00"/>
    <n v="3257226.82"/>
    <s v="Paid"/>
    <x v="0"/>
  </r>
  <r>
    <d v="2025-04-30T00:00:00"/>
    <x v="2"/>
    <x v="2"/>
    <x v="2"/>
    <x v="4"/>
    <x v="4"/>
    <n v="24"/>
    <n v="42031.92"/>
    <n v="1008766.08"/>
    <s v="In Transit"/>
    <d v="2025-07-28T00:00:00"/>
    <n v="19825305.960000001"/>
    <s v="Overdue"/>
    <x v="4"/>
  </r>
  <r>
    <d v="2025-05-21T00:00:00"/>
    <x v="2"/>
    <x v="2"/>
    <x v="9"/>
    <x v="5"/>
    <x v="5"/>
    <n v="489"/>
    <n v="90849.84"/>
    <n v="44425571.759999998"/>
    <s v="In Transit"/>
    <d v="2025-02-14T00:00:00"/>
    <n v="31995179.09"/>
    <s v="Paid"/>
    <x v="5"/>
  </r>
  <r>
    <d v="2025-06-16T00:00:00"/>
    <x v="2"/>
    <x v="2"/>
    <x v="2"/>
    <x v="2"/>
    <x v="2"/>
    <n v="419"/>
    <n v="242868.09"/>
    <n v="101761729.70999999"/>
    <s v="Open"/>
    <d v="2025-06-22T00:00:00"/>
    <n v="8268096.9800000004"/>
    <s v="Overdue"/>
    <x v="2"/>
  </r>
  <r>
    <d v="2025-02-24T00:00:00"/>
    <x v="3"/>
    <x v="3"/>
    <x v="3"/>
    <x v="0"/>
    <x v="0"/>
    <n v="456"/>
    <n v="52727.33"/>
    <n v="24043662.48"/>
    <s v="Open"/>
    <d v="2025-03-16T00:00:00"/>
    <n v="20548467.18"/>
    <s v="Pending"/>
    <x v="0"/>
  </r>
  <r>
    <d v="2025-05-31T00:00:00"/>
    <x v="0"/>
    <x v="0"/>
    <x v="0"/>
    <x v="3"/>
    <x v="3"/>
    <n v="266"/>
    <n v="63932.15"/>
    <n v="17005951.899999999"/>
    <s v="Closed"/>
    <d v="2025-06-25T00:00:00"/>
    <n v="15449028.560000001"/>
    <s v="Paid"/>
    <x v="3"/>
  </r>
  <r>
    <d v="2025-04-01T00:00:00"/>
    <x v="0"/>
    <x v="0"/>
    <x v="5"/>
    <x v="4"/>
    <x v="4"/>
    <n v="41"/>
    <n v="227954.18"/>
    <n v="9346121.3800000008"/>
    <s v="Closed"/>
    <d v="2025-03-26T00:00:00"/>
    <n v="37292344.490000002"/>
    <s v="Pending"/>
    <x v="4"/>
  </r>
  <r>
    <d v="2025-05-15T00:00:00"/>
    <x v="4"/>
    <x v="4"/>
    <x v="7"/>
    <x v="1"/>
    <x v="1"/>
    <n v="76"/>
    <n v="135297.12"/>
    <n v="10282581.119999999"/>
    <s v="In Transit"/>
    <d v="2025-04-22T00:00:00"/>
    <n v="20880624.57"/>
    <s v="Pending"/>
    <x v="1"/>
  </r>
  <r>
    <d v="2025-02-08T00:00:00"/>
    <x v="1"/>
    <x v="1"/>
    <x v="6"/>
    <x v="4"/>
    <x v="4"/>
    <n v="321"/>
    <n v="5963.46"/>
    <n v="1914270.66"/>
    <s v="Open"/>
    <d v="2025-06-19T00:00:00"/>
    <n v="9940359.3499999996"/>
    <s v="Overdue"/>
    <x v="4"/>
  </r>
  <r>
    <d v="2025-01-16T00:00:00"/>
    <x v="2"/>
    <x v="2"/>
    <x v="9"/>
    <x v="1"/>
    <x v="1"/>
    <n v="381"/>
    <n v="34482.47"/>
    <n v="13137821.07"/>
    <s v="Closed"/>
    <d v="2025-04-19T00:00:00"/>
    <n v="10262991.83"/>
    <s v="Paid"/>
    <x v="1"/>
  </r>
  <r>
    <d v="2025-03-05T00:00:00"/>
    <x v="4"/>
    <x v="4"/>
    <x v="7"/>
    <x v="2"/>
    <x v="2"/>
    <n v="462"/>
    <n v="142272.54999999999"/>
    <n v="65729918.100000001"/>
    <s v="Open"/>
    <d v="2025-04-27T00:00:00"/>
    <n v="45091366.020000003"/>
    <s v="Pending"/>
    <x v="2"/>
  </r>
  <r>
    <d v="2025-01-08T00:00:00"/>
    <x v="0"/>
    <x v="0"/>
    <x v="0"/>
    <x v="2"/>
    <x v="2"/>
    <n v="269"/>
    <n v="115783.1"/>
    <n v="31145653.899999999"/>
    <s v="Open"/>
    <d v="2025-02-04T00:00:00"/>
    <n v="41036392.200000003"/>
    <s v="Pending"/>
    <x v="2"/>
  </r>
  <r>
    <d v="2025-02-21T00:00:00"/>
    <x v="5"/>
    <x v="5"/>
    <x v="10"/>
    <x v="1"/>
    <x v="1"/>
    <n v="268"/>
    <n v="153503.73000000001"/>
    <n v="41138999.640000001"/>
    <s v="In Transit"/>
    <d v="2025-06-02T00:00:00"/>
    <n v="44153613.530000001"/>
    <s v="Pending"/>
    <x v="1"/>
  </r>
  <r>
    <d v="2025-05-10T00:00:00"/>
    <x v="0"/>
    <x v="0"/>
    <x v="5"/>
    <x v="1"/>
    <x v="1"/>
    <n v="283"/>
    <n v="202803.72"/>
    <n v="57393452.759999998"/>
    <s v="Open"/>
    <d v="2025-07-22T00:00:00"/>
    <n v="8210974.5099999998"/>
    <s v="Paid"/>
    <x v="1"/>
  </r>
  <r>
    <d v="2025-04-25T00:00:00"/>
    <x v="4"/>
    <x v="4"/>
    <x v="7"/>
    <x v="1"/>
    <x v="1"/>
    <n v="467"/>
    <n v="236100.42"/>
    <n v="110258896.14"/>
    <s v="Open"/>
    <d v="2025-01-19T00:00:00"/>
    <n v="27622238.02"/>
    <s v="Overdue"/>
    <x v="1"/>
  </r>
  <r>
    <d v="2025-06-21T00:00:00"/>
    <x v="5"/>
    <x v="5"/>
    <x v="11"/>
    <x v="0"/>
    <x v="0"/>
    <n v="236"/>
    <n v="82415.05"/>
    <n v="19449951.800000001"/>
    <s v="Open"/>
    <d v="2025-04-17T00:00:00"/>
    <n v="4542652.49"/>
    <s v="Overdue"/>
    <x v="0"/>
  </r>
  <r>
    <d v="2025-02-01T00:00:00"/>
    <x v="5"/>
    <x v="5"/>
    <x v="11"/>
    <x v="4"/>
    <x v="4"/>
    <n v="352"/>
    <n v="79181.119999999995"/>
    <n v="27871754.239999998"/>
    <s v="Open"/>
    <d v="2025-04-10T00:00:00"/>
    <n v="36888722.030000001"/>
    <s v="Paid"/>
    <x v="4"/>
  </r>
  <r>
    <d v="2025-04-30T00:00:00"/>
    <x v="4"/>
    <x v="4"/>
    <x v="7"/>
    <x v="4"/>
    <x v="4"/>
    <n v="139"/>
    <n v="221294.04"/>
    <n v="30759871.559999999"/>
    <s v="Open"/>
    <d v="2025-02-12T00:00:00"/>
    <n v="17462452.489999998"/>
    <s v="Paid"/>
    <x v="4"/>
  </r>
  <r>
    <d v="2025-06-20T00:00:00"/>
    <x v="4"/>
    <x v="4"/>
    <x v="8"/>
    <x v="0"/>
    <x v="0"/>
    <n v="463"/>
    <n v="124378.89"/>
    <n v="57587426.07"/>
    <s v="Open"/>
    <d v="2025-05-19T00:00:00"/>
    <n v="8672086.5700000003"/>
    <s v="Paid"/>
    <x v="0"/>
  </r>
  <r>
    <d v="2025-02-20T00:00:00"/>
    <x v="2"/>
    <x v="2"/>
    <x v="9"/>
    <x v="1"/>
    <x v="1"/>
    <n v="216"/>
    <n v="88083.46"/>
    <n v="19026027.359999999"/>
    <s v="Closed"/>
    <d v="2025-02-02T00:00:00"/>
    <n v="19248364.100000001"/>
    <s v="Paid"/>
    <x v="1"/>
  </r>
  <r>
    <d v="2025-05-22T00:00:00"/>
    <x v="0"/>
    <x v="0"/>
    <x v="0"/>
    <x v="5"/>
    <x v="5"/>
    <n v="197"/>
    <n v="9773.32"/>
    <n v="1925344.04"/>
    <s v="Closed"/>
    <d v="2025-03-24T00:00:00"/>
    <n v="6419852.6900000004"/>
    <s v="Paid"/>
    <x v="5"/>
  </r>
  <r>
    <d v="2025-03-17T00:00:00"/>
    <x v="5"/>
    <x v="5"/>
    <x v="11"/>
    <x v="0"/>
    <x v="0"/>
    <n v="179"/>
    <n v="131771.29"/>
    <n v="23587060.91"/>
    <s v="In Transit"/>
    <d v="2025-05-09T00:00:00"/>
    <n v="15794845.890000001"/>
    <s v="Overdue"/>
    <x v="0"/>
  </r>
  <r>
    <d v="2025-03-09T00:00:00"/>
    <x v="1"/>
    <x v="1"/>
    <x v="1"/>
    <x v="4"/>
    <x v="4"/>
    <n v="458"/>
    <n v="30671"/>
    <n v="14047318"/>
    <s v="Closed"/>
    <d v="2025-06-17T00:00:00"/>
    <n v="19455969.600000001"/>
    <s v="Overdue"/>
    <x v="4"/>
  </r>
  <r>
    <d v="2025-04-19T00:00:00"/>
    <x v="1"/>
    <x v="1"/>
    <x v="1"/>
    <x v="3"/>
    <x v="3"/>
    <n v="396"/>
    <n v="36741.11"/>
    <n v="14549479.560000001"/>
    <s v="In Transit"/>
    <d v="2025-06-13T00:00:00"/>
    <n v="34442006.630000003"/>
    <s v="Paid"/>
    <x v="3"/>
  </r>
  <r>
    <d v="2025-05-27T00:00:00"/>
    <x v="0"/>
    <x v="0"/>
    <x v="5"/>
    <x v="4"/>
    <x v="4"/>
    <n v="284"/>
    <n v="230197.02"/>
    <n v="65375953.68"/>
    <s v="Closed"/>
    <d v="2025-06-18T00:00:00"/>
    <n v="39312696.030000001"/>
    <s v="Paid"/>
    <x v="4"/>
  </r>
  <r>
    <d v="2025-06-26T00:00:00"/>
    <x v="4"/>
    <x v="4"/>
    <x v="7"/>
    <x v="2"/>
    <x v="2"/>
    <n v="152"/>
    <n v="19094"/>
    <n v="2902288"/>
    <s v="Open"/>
    <d v="2025-06-13T00:00:00"/>
    <n v="20283779.16"/>
    <s v="Paid"/>
    <x v="2"/>
  </r>
  <r>
    <d v="2025-01-23T00:00:00"/>
    <x v="5"/>
    <x v="5"/>
    <x v="11"/>
    <x v="3"/>
    <x v="3"/>
    <n v="490"/>
    <n v="9123.77"/>
    <n v="4470647.3"/>
    <s v="Closed"/>
    <d v="2025-05-07T00:00:00"/>
    <n v="9229980.6300000008"/>
    <s v="Paid"/>
    <x v="3"/>
  </r>
  <r>
    <d v="2025-04-27T00:00:00"/>
    <x v="1"/>
    <x v="1"/>
    <x v="1"/>
    <x v="2"/>
    <x v="2"/>
    <n v="145"/>
    <n v="216379.87"/>
    <n v="31375081.149999999"/>
    <s v="Open"/>
    <d v="2025-01-16T00:00:00"/>
    <n v="20047304.600000001"/>
    <s v="Overdue"/>
    <x v="2"/>
  </r>
  <r>
    <d v="2025-05-15T00:00:00"/>
    <x v="0"/>
    <x v="0"/>
    <x v="5"/>
    <x v="3"/>
    <x v="3"/>
    <n v="328"/>
    <n v="36660.080000000002"/>
    <n v="12024506.24"/>
    <s v="In Transit"/>
    <d v="2025-02-15T00:00:00"/>
    <n v="19240461.039999999"/>
    <s v="Paid"/>
    <x v="3"/>
  </r>
  <r>
    <d v="2025-02-21T00:00:00"/>
    <x v="2"/>
    <x v="2"/>
    <x v="2"/>
    <x v="4"/>
    <x v="4"/>
    <n v="144"/>
    <n v="17343.03"/>
    <n v="2497396.3199999998"/>
    <s v="Closed"/>
    <d v="2025-02-13T00:00:00"/>
    <n v="12428239.01"/>
    <s v="Overdue"/>
    <x v="4"/>
  </r>
  <r>
    <d v="2025-04-25T00:00:00"/>
    <x v="4"/>
    <x v="4"/>
    <x v="7"/>
    <x v="1"/>
    <x v="1"/>
    <n v="398"/>
    <n v="55438.53"/>
    <n v="22064534.940000001"/>
    <s v="In Transit"/>
    <d v="2025-02-24T00:00:00"/>
    <n v="2150841.77"/>
    <s v="Overdue"/>
    <x v="1"/>
  </r>
  <r>
    <d v="2025-03-06T00:00:00"/>
    <x v="4"/>
    <x v="4"/>
    <x v="8"/>
    <x v="3"/>
    <x v="3"/>
    <n v="187"/>
    <n v="201901.34"/>
    <n v="37755550.579999998"/>
    <s v="Open"/>
    <d v="2025-07-18T00:00:00"/>
    <n v="33645446.909999996"/>
    <s v="Overdue"/>
    <x v="3"/>
  </r>
  <r>
    <d v="2025-02-18T00:00:00"/>
    <x v="1"/>
    <x v="1"/>
    <x v="1"/>
    <x v="5"/>
    <x v="5"/>
    <n v="268"/>
    <n v="140007.04000000001"/>
    <n v="37521886.719999999"/>
    <s v="In Transit"/>
    <d v="2025-03-29T00:00:00"/>
    <n v="5974777.6600000001"/>
    <s v="Overdue"/>
    <x v="5"/>
  </r>
  <r>
    <d v="2025-06-16T00:00:00"/>
    <x v="5"/>
    <x v="5"/>
    <x v="11"/>
    <x v="0"/>
    <x v="0"/>
    <n v="64"/>
    <n v="166288.48000000001"/>
    <n v="10642462.720000001"/>
    <s v="Closed"/>
    <d v="2025-05-02T00:00:00"/>
    <n v="27547586.670000002"/>
    <s v="Overdue"/>
    <x v="0"/>
  </r>
  <r>
    <d v="2025-05-10T00:00:00"/>
    <x v="4"/>
    <x v="4"/>
    <x v="7"/>
    <x v="1"/>
    <x v="1"/>
    <n v="437"/>
    <n v="222737.86"/>
    <n v="97336444.819999993"/>
    <s v="Closed"/>
    <d v="2025-07-24T00:00:00"/>
    <n v="15380085.77"/>
    <s v="Pending"/>
    <x v="1"/>
  </r>
  <r>
    <d v="2025-06-30T00:00:00"/>
    <x v="4"/>
    <x v="4"/>
    <x v="8"/>
    <x v="4"/>
    <x v="4"/>
    <n v="185"/>
    <n v="53663"/>
    <n v="9927655"/>
    <s v="In Transit"/>
    <d v="2025-03-25T00:00:00"/>
    <n v="29172970.57"/>
    <s v="Pending"/>
    <x v="4"/>
  </r>
  <r>
    <d v="2025-02-03T00:00:00"/>
    <x v="4"/>
    <x v="4"/>
    <x v="8"/>
    <x v="0"/>
    <x v="0"/>
    <n v="187"/>
    <n v="245561.07"/>
    <n v="45919920.090000004"/>
    <s v="Open"/>
    <d v="2025-04-15T00:00:00"/>
    <n v="32976251.129999999"/>
    <s v="Pending"/>
    <x v="0"/>
  </r>
  <r>
    <d v="2025-06-20T00:00:00"/>
    <x v="1"/>
    <x v="1"/>
    <x v="6"/>
    <x v="0"/>
    <x v="0"/>
    <n v="93"/>
    <n v="18573.27"/>
    <n v="1727314.11"/>
    <s v="Closed"/>
    <d v="2025-05-14T00:00:00"/>
    <n v="21973794.420000002"/>
    <s v="Paid"/>
    <x v="0"/>
  </r>
  <r>
    <d v="2025-01-12T00:00:00"/>
    <x v="3"/>
    <x v="3"/>
    <x v="4"/>
    <x v="1"/>
    <x v="1"/>
    <n v="134"/>
    <n v="174707.95"/>
    <n v="23410865.300000001"/>
    <s v="Closed"/>
    <d v="2025-01-06T00:00:00"/>
    <n v="30982704.800000001"/>
    <s v="Pending"/>
    <x v="1"/>
  </r>
  <r>
    <d v="2025-04-04T00:00:00"/>
    <x v="2"/>
    <x v="2"/>
    <x v="2"/>
    <x v="3"/>
    <x v="3"/>
    <n v="238"/>
    <n v="5887.56"/>
    <n v="1401239.28"/>
    <s v="Closed"/>
    <d v="2025-05-05T00:00:00"/>
    <n v="11839021.08"/>
    <s v="Overdue"/>
    <x v="3"/>
  </r>
  <r>
    <d v="2025-03-21T00:00:00"/>
    <x v="3"/>
    <x v="3"/>
    <x v="4"/>
    <x v="4"/>
    <x v="4"/>
    <n v="27"/>
    <n v="241588.36"/>
    <n v="6522885.7199999997"/>
    <s v="Open"/>
    <d v="2025-07-24T00:00:00"/>
    <n v="40966614.810000002"/>
    <s v="Paid"/>
    <x v="4"/>
  </r>
  <r>
    <d v="2025-05-02T00:00:00"/>
    <x v="0"/>
    <x v="0"/>
    <x v="0"/>
    <x v="2"/>
    <x v="2"/>
    <n v="181"/>
    <n v="98498.52"/>
    <n v="17828232.120000001"/>
    <s v="Closed"/>
    <d v="2025-05-07T00:00:00"/>
    <n v="20077083.07"/>
    <s v="Paid"/>
    <x v="2"/>
  </r>
  <r>
    <d v="2025-01-24T00:00:00"/>
    <x v="3"/>
    <x v="3"/>
    <x v="3"/>
    <x v="4"/>
    <x v="4"/>
    <n v="268"/>
    <n v="195178.33"/>
    <n v="52307792.439999998"/>
    <s v="Closed"/>
    <d v="2025-02-07T00:00:00"/>
    <n v="17992896.07"/>
    <s v="Pending"/>
    <x v="4"/>
  </r>
  <r>
    <d v="2025-01-06T00:00:00"/>
    <x v="1"/>
    <x v="1"/>
    <x v="1"/>
    <x v="0"/>
    <x v="0"/>
    <n v="310"/>
    <n v="15208.4"/>
    <n v="4714604"/>
    <s v="Closed"/>
    <d v="2025-01-29T00:00:00"/>
    <n v="40133871.869999997"/>
    <s v="Overdue"/>
    <x v="0"/>
  </r>
  <r>
    <d v="2025-02-09T00:00:00"/>
    <x v="0"/>
    <x v="0"/>
    <x v="0"/>
    <x v="2"/>
    <x v="2"/>
    <n v="309"/>
    <n v="239621.11"/>
    <n v="74042922.989999995"/>
    <s v="In Transit"/>
    <d v="2025-05-16T00:00:00"/>
    <n v="32889079.190000001"/>
    <s v="Paid"/>
    <x v="2"/>
  </r>
  <r>
    <d v="2025-02-08T00:00:00"/>
    <x v="4"/>
    <x v="4"/>
    <x v="7"/>
    <x v="3"/>
    <x v="3"/>
    <n v="378"/>
    <n v="246258.63"/>
    <n v="93085762.140000001"/>
    <s v="Closed"/>
    <d v="2025-06-17T00:00:00"/>
    <n v="6600521.2000000002"/>
    <s v="Overdue"/>
    <x v="3"/>
  </r>
  <r>
    <d v="2025-05-12T00:00:00"/>
    <x v="4"/>
    <x v="4"/>
    <x v="8"/>
    <x v="2"/>
    <x v="2"/>
    <n v="432"/>
    <n v="209645.94"/>
    <n v="90567046.079999998"/>
    <s v="In Transit"/>
    <d v="2025-03-27T00:00:00"/>
    <n v="38904040.710000001"/>
    <s v="Overdue"/>
    <x v="2"/>
  </r>
  <r>
    <d v="2025-01-05T00:00:00"/>
    <x v="5"/>
    <x v="5"/>
    <x v="11"/>
    <x v="1"/>
    <x v="1"/>
    <n v="395"/>
    <n v="128570.91"/>
    <n v="50785509.450000003"/>
    <s v="In Transit"/>
    <d v="2025-01-26T00:00:00"/>
    <n v="2807820.06"/>
    <s v="Overdue"/>
    <x v="1"/>
  </r>
  <r>
    <d v="2025-06-13T00:00:00"/>
    <x v="3"/>
    <x v="3"/>
    <x v="3"/>
    <x v="2"/>
    <x v="2"/>
    <n v="25"/>
    <n v="15256.21"/>
    <n v="381405.25"/>
    <s v="Closed"/>
    <d v="2025-04-12T00:00:00"/>
    <n v="32672008.25"/>
    <s v="Paid"/>
    <x v="2"/>
  </r>
  <r>
    <d v="2025-01-05T00:00:00"/>
    <x v="1"/>
    <x v="1"/>
    <x v="6"/>
    <x v="0"/>
    <x v="0"/>
    <n v="295"/>
    <n v="17441.18"/>
    <n v="5145148.0999999996"/>
    <s v="In Transit"/>
    <d v="2025-01-12T00:00:00"/>
    <n v="42867798.549999997"/>
    <s v="Overdue"/>
    <x v="0"/>
  </r>
  <r>
    <d v="2025-01-18T00:00:00"/>
    <x v="3"/>
    <x v="3"/>
    <x v="3"/>
    <x v="0"/>
    <x v="0"/>
    <n v="145"/>
    <n v="5812.01"/>
    <n v="842741.45"/>
    <s v="In Transit"/>
    <d v="2025-07-12T00:00:00"/>
    <n v="34658222.43"/>
    <s v="Paid"/>
    <x v="0"/>
  </r>
  <r>
    <d v="2025-05-02T00:00:00"/>
    <x v="3"/>
    <x v="3"/>
    <x v="3"/>
    <x v="5"/>
    <x v="5"/>
    <n v="279"/>
    <n v="21182.34"/>
    <n v="5909872.8600000003"/>
    <s v="Closed"/>
    <d v="2025-02-24T00:00:00"/>
    <n v="6667712.2000000002"/>
    <s v="Pending"/>
    <x v="5"/>
  </r>
  <r>
    <d v="2025-03-01T00:00:00"/>
    <x v="1"/>
    <x v="1"/>
    <x v="6"/>
    <x v="4"/>
    <x v="4"/>
    <n v="383"/>
    <n v="190328.14"/>
    <n v="72895677.620000005"/>
    <s v="In Transit"/>
    <d v="2025-03-20T00:00:00"/>
    <n v="47836300.490000002"/>
    <s v="Paid"/>
    <x v="4"/>
  </r>
  <r>
    <d v="2025-05-03T00:00:00"/>
    <x v="4"/>
    <x v="4"/>
    <x v="7"/>
    <x v="0"/>
    <x v="0"/>
    <n v="442"/>
    <n v="98727.32"/>
    <n v="43637475.439999998"/>
    <s v="In Transit"/>
    <d v="2025-06-30T00:00:00"/>
    <n v="39440237.960000001"/>
    <s v="Paid"/>
    <x v="0"/>
  </r>
  <r>
    <d v="2025-01-20T00:00:00"/>
    <x v="0"/>
    <x v="0"/>
    <x v="0"/>
    <x v="1"/>
    <x v="1"/>
    <n v="333"/>
    <n v="162476.93"/>
    <n v="54104817.689999998"/>
    <s v="In Transit"/>
    <d v="2025-01-22T00:00:00"/>
    <n v="41668500.520000003"/>
    <s v="Overdue"/>
    <x v="1"/>
  </r>
  <r>
    <d v="2025-03-19T00:00:00"/>
    <x v="2"/>
    <x v="2"/>
    <x v="9"/>
    <x v="3"/>
    <x v="3"/>
    <n v="343"/>
    <n v="187088.23"/>
    <n v="64171262.890000001"/>
    <s v="In Transit"/>
    <d v="2025-07-18T00:00:00"/>
    <n v="12685816.220000001"/>
    <s v="Pending"/>
    <x v="3"/>
  </r>
  <r>
    <d v="2025-03-10T00:00:00"/>
    <x v="3"/>
    <x v="3"/>
    <x v="3"/>
    <x v="2"/>
    <x v="2"/>
    <n v="256"/>
    <n v="19861.95"/>
    <n v="5084659.2"/>
    <s v="In Transit"/>
    <d v="2025-06-12T00:00:00"/>
    <n v="13822130.34"/>
    <s v="Pending"/>
    <x v="2"/>
  </r>
  <r>
    <d v="2025-05-13T00:00:00"/>
    <x v="1"/>
    <x v="1"/>
    <x v="1"/>
    <x v="5"/>
    <x v="5"/>
    <n v="260"/>
    <n v="76259.839999999997"/>
    <n v="19827558.399999999"/>
    <s v="Closed"/>
    <d v="2025-02-11T00:00:00"/>
    <n v="12782653.800000001"/>
    <s v="Pending"/>
    <x v="5"/>
  </r>
  <r>
    <d v="2025-05-21T00:00:00"/>
    <x v="5"/>
    <x v="5"/>
    <x v="10"/>
    <x v="0"/>
    <x v="0"/>
    <n v="402"/>
    <n v="34033.199999999997"/>
    <n v="13681346.4"/>
    <s v="Open"/>
    <d v="2025-02-28T00:00:00"/>
    <n v="29635199.550000001"/>
    <s v="Overdue"/>
    <x v="0"/>
  </r>
  <r>
    <d v="2025-01-20T00:00:00"/>
    <x v="0"/>
    <x v="0"/>
    <x v="0"/>
    <x v="0"/>
    <x v="0"/>
    <n v="18"/>
    <n v="75949.279999999999"/>
    <n v="1367087.04"/>
    <s v="In Transit"/>
    <d v="2025-05-15T00:00:00"/>
    <n v="11946218.99"/>
    <s v="Pending"/>
    <x v="0"/>
  </r>
  <r>
    <d v="2025-02-23T00:00:00"/>
    <x v="5"/>
    <x v="5"/>
    <x v="10"/>
    <x v="0"/>
    <x v="0"/>
    <n v="117"/>
    <n v="229555.92"/>
    <n v="26858042.640000001"/>
    <s v="Open"/>
    <d v="2025-01-15T00:00:00"/>
    <n v="10027213.210000001"/>
    <s v="Pending"/>
    <x v="0"/>
  </r>
  <r>
    <d v="2025-04-03T00:00:00"/>
    <x v="3"/>
    <x v="3"/>
    <x v="3"/>
    <x v="4"/>
    <x v="4"/>
    <n v="392"/>
    <n v="133396.1"/>
    <n v="52291271.200000003"/>
    <s v="Open"/>
    <d v="2025-02-16T00:00:00"/>
    <n v="31864931.789999999"/>
    <s v="Pending"/>
    <x v="4"/>
  </r>
  <r>
    <d v="2025-05-08T00:00:00"/>
    <x v="3"/>
    <x v="3"/>
    <x v="4"/>
    <x v="2"/>
    <x v="2"/>
    <n v="370"/>
    <n v="94471.19"/>
    <n v="34954340.299999997"/>
    <s v="Closed"/>
    <d v="2025-06-28T00:00:00"/>
    <n v="16458434.119999999"/>
    <s v="Pending"/>
    <x v="2"/>
  </r>
  <r>
    <d v="2025-06-24T00:00:00"/>
    <x v="5"/>
    <x v="5"/>
    <x v="11"/>
    <x v="4"/>
    <x v="4"/>
    <n v="11"/>
    <n v="237740.1"/>
    <n v="2615141.1"/>
    <s v="Closed"/>
    <d v="2025-02-18T00:00:00"/>
    <n v="39626995.490000002"/>
    <s v="Pending"/>
    <x v="4"/>
  </r>
  <r>
    <d v="2025-04-07T00:00:00"/>
    <x v="5"/>
    <x v="5"/>
    <x v="10"/>
    <x v="5"/>
    <x v="5"/>
    <n v="82"/>
    <n v="106964.39"/>
    <n v="8771079.9800000004"/>
    <s v="Closed"/>
    <d v="2025-02-04T00:00:00"/>
    <n v="38436459.829999998"/>
    <s v="Paid"/>
    <x v="5"/>
  </r>
  <r>
    <d v="2025-04-12T00:00:00"/>
    <x v="1"/>
    <x v="1"/>
    <x v="6"/>
    <x v="2"/>
    <x v="2"/>
    <n v="176"/>
    <n v="188929.84"/>
    <n v="33251651.84"/>
    <s v="Open"/>
    <d v="2025-06-17T00:00:00"/>
    <n v="42928619.539999999"/>
    <s v="Pending"/>
    <x v="2"/>
  </r>
  <r>
    <d v="2025-01-17T00:00:00"/>
    <x v="2"/>
    <x v="2"/>
    <x v="2"/>
    <x v="5"/>
    <x v="5"/>
    <n v="158"/>
    <n v="67036.990000000005"/>
    <n v="10591844.42"/>
    <s v="Closed"/>
    <d v="2025-05-28T00:00:00"/>
    <n v="26120480.41"/>
    <s v="Overdue"/>
    <x v="5"/>
  </r>
  <r>
    <d v="2025-03-12T00:00:00"/>
    <x v="5"/>
    <x v="5"/>
    <x v="11"/>
    <x v="3"/>
    <x v="3"/>
    <n v="483"/>
    <n v="109872.92"/>
    <n v="53068620.359999999"/>
    <s v="Open"/>
    <d v="2025-02-01T00:00:00"/>
    <n v="12676376.560000001"/>
    <s v="Overdue"/>
    <x v="3"/>
  </r>
  <r>
    <d v="2025-06-12T00:00:00"/>
    <x v="0"/>
    <x v="0"/>
    <x v="0"/>
    <x v="2"/>
    <x v="2"/>
    <n v="437"/>
    <n v="167184.65"/>
    <n v="73059692.049999997"/>
    <s v="Open"/>
    <d v="2025-06-16T00:00:00"/>
    <n v="42844309.359999999"/>
    <s v="Overdue"/>
    <x v="2"/>
  </r>
  <r>
    <d v="2025-04-06T00:00:00"/>
    <x v="2"/>
    <x v="2"/>
    <x v="9"/>
    <x v="0"/>
    <x v="0"/>
    <n v="271"/>
    <n v="82322.34"/>
    <n v="22309354.140000001"/>
    <s v="Closed"/>
    <d v="2025-07-29T00:00:00"/>
    <n v="18636164.449999999"/>
    <s v="Pending"/>
    <x v="0"/>
  </r>
  <r>
    <d v="2025-01-21T00:00:00"/>
    <x v="1"/>
    <x v="1"/>
    <x v="6"/>
    <x v="1"/>
    <x v="1"/>
    <n v="291"/>
    <n v="54841.77"/>
    <n v="15958955.07"/>
    <s v="Open"/>
    <d v="2025-04-10T00:00:00"/>
    <n v="28910289.539999999"/>
    <s v="Pending"/>
    <x v="1"/>
  </r>
  <r>
    <d v="2025-06-14T00:00:00"/>
    <x v="4"/>
    <x v="4"/>
    <x v="7"/>
    <x v="0"/>
    <x v="0"/>
    <n v="324"/>
    <n v="189403.66"/>
    <n v="61366785.840000004"/>
    <s v="Closed"/>
    <d v="2025-03-31T00:00:00"/>
    <n v="38255495.68"/>
    <s v="Pending"/>
    <x v="0"/>
  </r>
  <r>
    <d v="2025-04-17T00:00:00"/>
    <x v="5"/>
    <x v="5"/>
    <x v="11"/>
    <x v="1"/>
    <x v="1"/>
    <n v="75"/>
    <n v="46836.89"/>
    <n v="3512766.75"/>
    <s v="Closed"/>
    <d v="2025-03-05T00:00:00"/>
    <n v="8920127.3300000001"/>
    <s v="Overdue"/>
    <x v="1"/>
  </r>
  <r>
    <d v="2025-06-17T00:00:00"/>
    <x v="0"/>
    <x v="0"/>
    <x v="5"/>
    <x v="3"/>
    <x v="3"/>
    <n v="388"/>
    <n v="185992.59"/>
    <n v="72165124.920000002"/>
    <s v="Closed"/>
    <d v="2025-01-18T00:00:00"/>
    <n v="14889531.75"/>
    <s v="Overdue"/>
    <x v="3"/>
  </r>
  <r>
    <d v="2025-04-11T00:00:00"/>
    <x v="5"/>
    <x v="5"/>
    <x v="11"/>
    <x v="3"/>
    <x v="3"/>
    <n v="257"/>
    <n v="141543.82"/>
    <n v="36376761.740000002"/>
    <s v="Open"/>
    <d v="2025-03-11T00:00:00"/>
    <n v="15572614.84"/>
    <s v="Overdue"/>
    <x v="3"/>
  </r>
  <r>
    <d v="2025-05-08T00:00:00"/>
    <x v="2"/>
    <x v="2"/>
    <x v="2"/>
    <x v="2"/>
    <x v="2"/>
    <n v="116"/>
    <n v="127648.17"/>
    <n v="14807187.720000001"/>
    <s v="In Transit"/>
    <d v="2025-06-24T00:00:00"/>
    <n v="44796576.710000001"/>
    <s v="Overdue"/>
    <x v="2"/>
  </r>
  <r>
    <d v="2025-02-05T00:00:00"/>
    <x v="2"/>
    <x v="2"/>
    <x v="9"/>
    <x v="3"/>
    <x v="3"/>
    <n v="398"/>
    <n v="115240.31"/>
    <n v="45865643.380000003"/>
    <s v="In Transit"/>
    <d v="2025-01-06T00:00:00"/>
    <n v="37381277.25"/>
    <s v="Paid"/>
    <x v="3"/>
  </r>
  <r>
    <d v="2025-01-24T00:00:00"/>
    <x v="2"/>
    <x v="2"/>
    <x v="2"/>
    <x v="2"/>
    <x v="2"/>
    <n v="99"/>
    <n v="88779.03"/>
    <n v="8789123.9700000007"/>
    <s v="Closed"/>
    <d v="2025-02-13T00:00:00"/>
    <n v="14619483.789999999"/>
    <s v="Overdue"/>
    <x v="2"/>
  </r>
  <r>
    <d v="2025-01-06T00:00:00"/>
    <x v="2"/>
    <x v="2"/>
    <x v="9"/>
    <x v="3"/>
    <x v="3"/>
    <n v="424"/>
    <n v="144556.35"/>
    <n v="61291892.399999999"/>
    <s v="In Transit"/>
    <d v="2025-04-26T00:00:00"/>
    <n v="20942579.57"/>
    <s v="Pending"/>
    <x v="3"/>
  </r>
  <r>
    <d v="2025-04-07T00:00:00"/>
    <x v="5"/>
    <x v="5"/>
    <x v="10"/>
    <x v="0"/>
    <x v="0"/>
    <n v="391"/>
    <n v="133421.19"/>
    <n v="52167685.289999999"/>
    <s v="Closed"/>
    <d v="2025-01-18T00:00:00"/>
    <n v="6687962.3399999999"/>
    <s v="Paid"/>
    <x v="0"/>
  </r>
  <r>
    <d v="2025-04-03T00:00:00"/>
    <x v="0"/>
    <x v="0"/>
    <x v="0"/>
    <x v="0"/>
    <x v="0"/>
    <n v="152"/>
    <n v="145698.79"/>
    <n v="22146216.079999998"/>
    <s v="Open"/>
    <d v="2025-06-11T00:00:00"/>
    <n v="32690110.449999999"/>
    <s v="Paid"/>
    <x v="0"/>
  </r>
  <r>
    <d v="2025-04-09T00:00:00"/>
    <x v="4"/>
    <x v="4"/>
    <x v="8"/>
    <x v="2"/>
    <x v="2"/>
    <n v="148"/>
    <n v="224713.58"/>
    <n v="33257609.84"/>
    <s v="Closed"/>
    <d v="2025-01-19T00:00:00"/>
    <n v="230513.12"/>
    <s v="Pending"/>
    <x v="2"/>
  </r>
  <r>
    <d v="2025-01-06T00:00:00"/>
    <x v="4"/>
    <x v="4"/>
    <x v="7"/>
    <x v="0"/>
    <x v="0"/>
    <n v="498"/>
    <n v="81443.92"/>
    <n v="40559072.159999996"/>
    <s v="Open"/>
    <d v="2025-03-24T00:00:00"/>
    <n v="5407496.3499999996"/>
    <s v="Pending"/>
    <x v="0"/>
  </r>
  <r>
    <d v="2025-05-02T00:00:00"/>
    <x v="1"/>
    <x v="1"/>
    <x v="6"/>
    <x v="5"/>
    <x v="5"/>
    <n v="401"/>
    <n v="224445.65"/>
    <n v="90002705.650000006"/>
    <s v="In Transit"/>
    <d v="2025-05-22T00:00:00"/>
    <n v="11290522.220000001"/>
    <s v="Overdue"/>
    <x v="5"/>
  </r>
  <r>
    <d v="2025-05-16T00:00:00"/>
    <x v="5"/>
    <x v="5"/>
    <x v="11"/>
    <x v="2"/>
    <x v="2"/>
    <n v="210"/>
    <n v="232908.43"/>
    <n v="48910770.299999997"/>
    <s v="Closed"/>
    <d v="2025-03-24T00:00:00"/>
    <n v="29495671.210000001"/>
    <s v="Paid"/>
    <x v="2"/>
  </r>
  <r>
    <d v="2025-05-14T00:00:00"/>
    <x v="5"/>
    <x v="5"/>
    <x v="11"/>
    <x v="2"/>
    <x v="2"/>
    <n v="124"/>
    <n v="42822.7"/>
    <n v="5310014.8"/>
    <s v="In Transit"/>
    <d v="2025-04-09T00:00:00"/>
    <n v="31234084.989999998"/>
    <s v="Pending"/>
    <x v="2"/>
  </r>
  <r>
    <d v="2025-01-01T00:00:00"/>
    <x v="1"/>
    <x v="1"/>
    <x v="6"/>
    <x v="2"/>
    <x v="2"/>
    <n v="292"/>
    <n v="195331.1"/>
    <n v="57036681.200000003"/>
    <s v="Open"/>
    <d v="2025-02-15T00:00:00"/>
    <n v="6823960"/>
    <s v="Paid"/>
    <x v="2"/>
  </r>
  <r>
    <d v="2025-02-02T00:00:00"/>
    <x v="2"/>
    <x v="2"/>
    <x v="2"/>
    <x v="5"/>
    <x v="5"/>
    <n v="376"/>
    <n v="79426.649999999994"/>
    <n v="29864420.399999999"/>
    <s v="In Transit"/>
    <d v="2025-07-06T00:00:00"/>
    <n v="7550722.7300000004"/>
    <s v="Paid"/>
    <x v="5"/>
  </r>
  <r>
    <d v="2025-01-19T00:00:00"/>
    <x v="0"/>
    <x v="0"/>
    <x v="5"/>
    <x v="5"/>
    <x v="5"/>
    <n v="401"/>
    <n v="32472.51"/>
    <n v="13021476.51"/>
    <s v="Closed"/>
    <d v="2025-01-22T00:00:00"/>
    <n v="31946683.82"/>
    <s v="Overdue"/>
    <x v="5"/>
  </r>
  <r>
    <d v="2025-06-03T00:00:00"/>
    <x v="3"/>
    <x v="3"/>
    <x v="3"/>
    <x v="0"/>
    <x v="0"/>
    <n v="143"/>
    <n v="59777.84"/>
    <n v="8548231.1199999992"/>
    <s v="Open"/>
    <d v="2025-07-25T00:00:00"/>
    <n v="13561031.1"/>
    <s v="Pending"/>
    <x v="0"/>
  </r>
  <r>
    <d v="2025-06-15T00:00:00"/>
    <x v="1"/>
    <x v="1"/>
    <x v="6"/>
    <x v="0"/>
    <x v="0"/>
    <n v="152"/>
    <n v="239940.29"/>
    <n v="36470924.079999998"/>
    <s v="Open"/>
    <d v="2025-01-08T00:00:00"/>
    <n v="2900915.1"/>
    <s v="Overdue"/>
    <x v="0"/>
  </r>
  <r>
    <d v="2025-04-16T00:00:00"/>
    <x v="5"/>
    <x v="5"/>
    <x v="11"/>
    <x v="1"/>
    <x v="1"/>
    <n v="136"/>
    <n v="12173.81"/>
    <n v="1655638.16"/>
    <s v="In Transit"/>
    <d v="2025-04-05T00:00:00"/>
    <n v="29776740.829999998"/>
    <s v="Overdue"/>
    <x v="1"/>
  </r>
  <r>
    <d v="2025-06-22T00:00:00"/>
    <x v="4"/>
    <x v="4"/>
    <x v="7"/>
    <x v="2"/>
    <x v="2"/>
    <n v="21"/>
    <n v="52558.23"/>
    <n v="1103722.83"/>
    <s v="In Transit"/>
    <d v="2025-04-29T00:00:00"/>
    <n v="30133885.170000002"/>
    <s v="Overdue"/>
    <x v="2"/>
  </r>
  <r>
    <d v="2025-04-05T00:00:00"/>
    <x v="5"/>
    <x v="5"/>
    <x v="11"/>
    <x v="3"/>
    <x v="3"/>
    <n v="126"/>
    <n v="168501.99"/>
    <n v="21231250.739999998"/>
    <s v="Open"/>
    <d v="2025-07-12T00:00:00"/>
    <n v="24693297.91"/>
    <s v="Paid"/>
    <x v="3"/>
  </r>
  <r>
    <d v="2025-04-03T00:00:00"/>
    <x v="5"/>
    <x v="5"/>
    <x v="11"/>
    <x v="5"/>
    <x v="5"/>
    <n v="183"/>
    <n v="180991.4"/>
    <n v="33121426.199999999"/>
    <s v="In Transit"/>
    <d v="2025-01-06T00:00:00"/>
    <n v="2295698.91"/>
    <s v="Overdue"/>
    <x v="5"/>
  </r>
  <r>
    <d v="2025-05-10T00:00:00"/>
    <x v="5"/>
    <x v="5"/>
    <x v="11"/>
    <x v="2"/>
    <x v="2"/>
    <n v="418"/>
    <n v="76567.25"/>
    <n v="32005110.5"/>
    <s v="Open"/>
    <d v="2025-01-12T00:00:00"/>
    <n v="20358837.350000001"/>
    <s v="Paid"/>
    <x v="2"/>
  </r>
  <r>
    <d v="2025-02-19T00:00:00"/>
    <x v="2"/>
    <x v="2"/>
    <x v="9"/>
    <x v="4"/>
    <x v="4"/>
    <n v="169"/>
    <n v="192634.99"/>
    <n v="32555313.309999999"/>
    <s v="Open"/>
    <d v="2025-02-15T00:00:00"/>
    <n v="3013121.09"/>
    <s v="Paid"/>
    <x v="4"/>
  </r>
  <r>
    <d v="2025-01-28T00:00:00"/>
    <x v="5"/>
    <x v="5"/>
    <x v="11"/>
    <x v="3"/>
    <x v="3"/>
    <n v="399"/>
    <n v="222886.8"/>
    <n v="88931833.200000003"/>
    <s v="In Transit"/>
    <d v="2025-01-09T00:00:00"/>
    <n v="30670715.43"/>
    <s v="Overdue"/>
    <x v="3"/>
  </r>
  <r>
    <d v="2025-06-20T00:00:00"/>
    <x v="5"/>
    <x v="5"/>
    <x v="11"/>
    <x v="4"/>
    <x v="4"/>
    <n v="258"/>
    <n v="107172.13"/>
    <n v="27650409.539999999"/>
    <s v="Open"/>
    <d v="2025-02-25T00:00:00"/>
    <n v="7199100.5899999999"/>
    <s v="Paid"/>
    <x v="4"/>
  </r>
  <r>
    <d v="2025-06-02T00:00:00"/>
    <x v="3"/>
    <x v="3"/>
    <x v="3"/>
    <x v="0"/>
    <x v="0"/>
    <n v="37"/>
    <n v="57172.52"/>
    <n v="2115383.2400000002"/>
    <s v="Open"/>
    <d v="2025-05-18T00:00:00"/>
    <n v="30443340.190000001"/>
    <s v="Overdue"/>
    <x v="0"/>
  </r>
  <r>
    <d v="2025-04-26T00:00:00"/>
    <x v="5"/>
    <x v="5"/>
    <x v="11"/>
    <x v="5"/>
    <x v="5"/>
    <n v="40"/>
    <n v="50105.68"/>
    <n v="2004227.2"/>
    <s v="In Transit"/>
    <d v="2025-06-20T00:00:00"/>
    <n v="32114341.390000001"/>
    <s v="Overdue"/>
    <x v="5"/>
  </r>
  <r>
    <d v="2025-02-18T00:00:00"/>
    <x v="0"/>
    <x v="0"/>
    <x v="0"/>
    <x v="2"/>
    <x v="2"/>
    <n v="486"/>
    <n v="45580.27"/>
    <n v="22152011.219999999"/>
    <s v="Open"/>
    <d v="2025-02-19T00:00:00"/>
    <n v="25477943.170000002"/>
    <s v="Paid"/>
    <x v="2"/>
  </r>
  <r>
    <d v="2025-04-07T00:00:00"/>
    <x v="4"/>
    <x v="4"/>
    <x v="7"/>
    <x v="2"/>
    <x v="2"/>
    <n v="169"/>
    <n v="167785.32"/>
    <n v="28355719.079999998"/>
    <s v="Closed"/>
    <d v="2025-03-23T00:00:00"/>
    <n v="31335594.359999999"/>
    <s v="Overdue"/>
    <x v="2"/>
  </r>
  <r>
    <d v="2025-03-13T00:00:00"/>
    <x v="0"/>
    <x v="0"/>
    <x v="5"/>
    <x v="4"/>
    <x v="4"/>
    <n v="65"/>
    <n v="5703.33"/>
    <n v="370716.45"/>
    <s v="Open"/>
    <d v="2025-07-25T00:00:00"/>
    <n v="23948470.91"/>
    <s v="Overdue"/>
    <x v="4"/>
  </r>
  <r>
    <d v="2025-02-23T00:00:00"/>
    <x v="0"/>
    <x v="0"/>
    <x v="5"/>
    <x v="2"/>
    <x v="2"/>
    <n v="297"/>
    <n v="241246.45"/>
    <n v="71650195.650000006"/>
    <s v="Closed"/>
    <d v="2025-01-07T00:00:00"/>
    <n v="18820421.170000002"/>
    <s v="Pending"/>
    <x v="2"/>
  </r>
  <r>
    <d v="2025-05-02T00:00:00"/>
    <x v="0"/>
    <x v="0"/>
    <x v="5"/>
    <x v="0"/>
    <x v="0"/>
    <n v="54"/>
    <n v="17068.05"/>
    <n v="921674.7"/>
    <s v="Open"/>
    <d v="2025-07-15T00:00:00"/>
    <n v="45621759.840000004"/>
    <s v="Paid"/>
    <x v="0"/>
  </r>
  <r>
    <d v="2025-05-02T00:00:00"/>
    <x v="0"/>
    <x v="0"/>
    <x v="5"/>
    <x v="4"/>
    <x v="4"/>
    <n v="175"/>
    <n v="94240.97"/>
    <n v="16492169.75"/>
    <s v="Open"/>
    <d v="2025-07-14T00:00:00"/>
    <n v="32811009.91"/>
    <s v="Paid"/>
    <x v="4"/>
  </r>
  <r>
    <d v="2025-04-14T00:00:00"/>
    <x v="4"/>
    <x v="4"/>
    <x v="7"/>
    <x v="4"/>
    <x v="4"/>
    <n v="425"/>
    <n v="158225.03"/>
    <n v="67245637.75"/>
    <s v="Open"/>
    <d v="2025-03-04T00:00:00"/>
    <n v="49830862.869999997"/>
    <s v="Pending"/>
    <x v="4"/>
  </r>
  <r>
    <d v="2025-01-16T00:00:00"/>
    <x v="5"/>
    <x v="5"/>
    <x v="11"/>
    <x v="0"/>
    <x v="0"/>
    <n v="42"/>
    <n v="201817.83"/>
    <n v="8476348.8599999994"/>
    <s v="Closed"/>
    <d v="2025-03-06T00:00:00"/>
    <n v="32236585.68"/>
    <s v="Paid"/>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INV0001"/>
    <s v="PO0001"/>
    <x v="0"/>
    <x v="0"/>
    <x v="0"/>
  </r>
  <r>
    <s v="INV0002"/>
    <s v="PO0002"/>
    <x v="1"/>
    <x v="1"/>
    <x v="1"/>
  </r>
  <r>
    <s v="INV0003"/>
    <s v="PO0003"/>
    <x v="2"/>
    <x v="2"/>
    <x v="2"/>
  </r>
  <r>
    <s v="INV0004"/>
    <s v="PO0004"/>
    <x v="3"/>
    <x v="3"/>
    <x v="1"/>
  </r>
  <r>
    <s v="INV0005"/>
    <s v="PO0005"/>
    <x v="4"/>
    <x v="4"/>
    <x v="0"/>
  </r>
  <r>
    <s v="INV0006"/>
    <s v="PO0006"/>
    <x v="5"/>
    <x v="5"/>
    <x v="2"/>
  </r>
  <r>
    <s v="INV0007"/>
    <s v="PO0007"/>
    <x v="6"/>
    <x v="6"/>
    <x v="0"/>
  </r>
  <r>
    <s v="INV0008"/>
    <s v="PO0008"/>
    <x v="7"/>
    <x v="7"/>
    <x v="0"/>
  </r>
  <r>
    <s v="INV0009"/>
    <s v="PO0009"/>
    <x v="8"/>
    <x v="8"/>
    <x v="0"/>
  </r>
  <r>
    <s v="INV0010"/>
    <s v="PO0010"/>
    <x v="9"/>
    <x v="9"/>
    <x v="1"/>
  </r>
  <r>
    <s v="INV0011"/>
    <s v="PO0011"/>
    <x v="10"/>
    <x v="10"/>
    <x v="1"/>
  </r>
  <r>
    <s v="INV0012"/>
    <s v="PO0012"/>
    <x v="11"/>
    <x v="11"/>
    <x v="1"/>
  </r>
  <r>
    <s v="INV0013"/>
    <s v="PO0013"/>
    <x v="12"/>
    <x v="12"/>
    <x v="2"/>
  </r>
  <r>
    <s v="INV0014"/>
    <s v="PO0014"/>
    <x v="13"/>
    <x v="13"/>
    <x v="1"/>
  </r>
  <r>
    <s v="INV0015"/>
    <s v="PO0015"/>
    <x v="14"/>
    <x v="14"/>
    <x v="2"/>
  </r>
  <r>
    <s v="INV0016"/>
    <s v="PO0016"/>
    <x v="15"/>
    <x v="15"/>
    <x v="2"/>
  </r>
  <r>
    <s v="INV0017"/>
    <s v="PO0017"/>
    <x v="16"/>
    <x v="16"/>
    <x v="0"/>
  </r>
  <r>
    <s v="INV0018"/>
    <s v="PO0018"/>
    <x v="17"/>
    <x v="17"/>
    <x v="0"/>
  </r>
  <r>
    <s v="INV0019"/>
    <s v="PO0019"/>
    <x v="18"/>
    <x v="18"/>
    <x v="0"/>
  </r>
  <r>
    <s v="INV0020"/>
    <s v="PO0020"/>
    <x v="19"/>
    <x v="19"/>
    <x v="1"/>
  </r>
  <r>
    <s v="INV0021"/>
    <s v="PO0021"/>
    <x v="20"/>
    <x v="20"/>
    <x v="0"/>
  </r>
  <r>
    <s v="INV0022"/>
    <s v="PO0022"/>
    <x v="21"/>
    <x v="21"/>
    <x v="1"/>
  </r>
  <r>
    <s v="INV0023"/>
    <s v="PO0023"/>
    <x v="22"/>
    <x v="22"/>
    <x v="1"/>
  </r>
  <r>
    <s v="INV0024"/>
    <s v="PO0024"/>
    <x v="23"/>
    <x v="23"/>
    <x v="2"/>
  </r>
  <r>
    <s v="INV0025"/>
    <s v="PO0025"/>
    <x v="24"/>
    <x v="24"/>
    <x v="1"/>
  </r>
  <r>
    <s v="INV0026"/>
    <s v="PO0026"/>
    <x v="25"/>
    <x v="25"/>
    <x v="1"/>
  </r>
  <r>
    <s v="INV0027"/>
    <s v="PO0027"/>
    <x v="13"/>
    <x v="26"/>
    <x v="1"/>
  </r>
  <r>
    <s v="INV0028"/>
    <s v="PO0028"/>
    <x v="17"/>
    <x v="27"/>
    <x v="1"/>
  </r>
  <r>
    <s v="INV0029"/>
    <s v="PO0029"/>
    <x v="26"/>
    <x v="28"/>
    <x v="2"/>
  </r>
  <r>
    <s v="INV0030"/>
    <s v="PO0030"/>
    <x v="27"/>
    <x v="29"/>
    <x v="0"/>
  </r>
  <r>
    <s v="INV0031"/>
    <s v="PO0031"/>
    <x v="28"/>
    <x v="30"/>
    <x v="0"/>
  </r>
  <r>
    <s v="INV0032"/>
    <s v="PO0032"/>
    <x v="29"/>
    <x v="31"/>
    <x v="2"/>
  </r>
  <r>
    <s v="INV0033"/>
    <s v="PO0033"/>
    <x v="30"/>
    <x v="32"/>
    <x v="2"/>
  </r>
  <r>
    <s v="INV0034"/>
    <s v="PO0034"/>
    <x v="31"/>
    <x v="33"/>
    <x v="1"/>
  </r>
  <r>
    <s v="INV0035"/>
    <s v="PO0035"/>
    <x v="32"/>
    <x v="34"/>
    <x v="1"/>
  </r>
  <r>
    <s v="INV0036"/>
    <s v="PO0036"/>
    <x v="33"/>
    <x v="35"/>
    <x v="0"/>
  </r>
  <r>
    <s v="INV0037"/>
    <s v="PO0037"/>
    <x v="32"/>
    <x v="36"/>
    <x v="2"/>
  </r>
  <r>
    <s v="INV0038"/>
    <s v="PO0038"/>
    <x v="34"/>
    <x v="37"/>
    <x v="0"/>
  </r>
  <r>
    <s v="INV0039"/>
    <s v="PO0039"/>
    <x v="35"/>
    <x v="38"/>
    <x v="1"/>
  </r>
  <r>
    <s v="INV0040"/>
    <s v="PO0040"/>
    <x v="36"/>
    <x v="39"/>
    <x v="1"/>
  </r>
  <r>
    <s v="INV0041"/>
    <s v="PO0041"/>
    <x v="37"/>
    <x v="40"/>
    <x v="2"/>
  </r>
  <r>
    <s v="INV0042"/>
    <s v="PO0042"/>
    <x v="38"/>
    <x v="41"/>
    <x v="1"/>
  </r>
  <r>
    <s v="INV0043"/>
    <s v="PO0043"/>
    <x v="39"/>
    <x v="42"/>
    <x v="2"/>
  </r>
  <r>
    <s v="INV0044"/>
    <s v="PO0044"/>
    <x v="40"/>
    <x v="43"/>
    <x v="1"/>
  </r>
  <r>
    <s v="INV0045"/>
    <s v="PO0045"/>
    <x v="41"/>
    <x v="44"/>
    <x v="2"/>
  </r>
  <r>
    <s v="INV0046"/>
    <s v="PO0046"/>
    <x v="42"/>
    <x v="45"/>
    <x v="0"/>
  </r>
  <r>
    <s v="INV0047"/>
    <s v="PO0047"/>
    <x v="43"/>
    <x v="46"/>
    <x v="1"/>
  </r>
  <r>
    <s v="INV0048"/>
    <s v="PO0048"/>
    <x v="44"/>
    <x v="47"/>
    <x v="0"/>
  </r>
  <r>
    <s v="INV0049"/>
    <s v="PO0049"/>
    <x v="14"/>
    <x v="48"/>
    <x v="0"/>
  </r>
  <r>
    <s v="INV0050"/>
    <s v="PO0050"/>
    <x v="45"/>
    <x v="49"/>
    <x v="2"/>
  </r>
  <r>
    <s v="INV0051"/>
    <s v="PO0051"/>
    <x v="46"/>
    <x v="50"/>
    <x v="1"/>
  </r>
  <r>
    <s v="INV0052"/>
    <s v="PO0052"/>
    <x v="47"/>
    <x v="51"/>
    <x v="0"/>
  </r>
  <r>
    <s v="INV0053"/>
    <s v="PO0053"/>
    <x v="48"/>
    <x v="52"/>
    <x v="0"/>
  </r>
  <r>
    <s v="INV0054"/>
    <s v="PO0054"/>
    <x v="49"/>
    <x v="53"/>
    <x v="0"/>
  </r>
  <r>
    <s v="INV0055"/>
    <s v="PO0055"/>
    <x v="50"/>
    <x v="54"/>
    <x v="1"/>
  </r>
  <r>
    <s v="INV0056"/>
    <s v="PO0056"/>
    <x v="51"/>
    <x v="55"/>
    <x v="2"/>
  </r>
  <r>
    <s v="INV0057"/>
    <s v="PO0057"/>
    <x v="22"/>
    <x v="56"/>
    <x v="2"/>
  </r>
  <r>
    <s v="INV0058"/>
    <s v="PO0058"/>
    <x v="52"/>
    <x v="57"/>
    <x v="1"/>
  </r>
  <r>
    <s v="INV0059"/>
    <s v="PO0059"/>
    <x v="53"/>
    <x v="58"/>
    <x v="1"/>
  </r>
  <r>
    <s v="INV0060"/>
    <s v="PO0060"/>
    <x v="54"/>
    <x v="59"/>
    <x v="1"/>
  </r>
  <r>
    <s v="INV0061"/>
    <s v="PO0061"/>
    <x v="55"/>
    <x v="60"/>
    <x v="1"/>
  </r>
  <r>
    <s v="INV0062"/>
    <s v="PO0062"/>
    <x v="3"/>
    <x v="61"/>
    <x v="1"/>
  </r>
  <r>
    <s v="INV0063"/>
    <s v="PO0063"/>
    <x v="38"/>
    <x v="62"/>
    <x v="2"/>
  </r>
  <r>
    <s v="INV0064"/>
    <s v="PO0064"/>
    <x v="56"/>
    <x v="63"/>
    <x v="2"/>
  </r>
  <r>
    <s v="INV0065"/>
    <s v="PO0065"/>
    <x v="36"/>
    <x v="64"/>
    <x v="1"/>
  </r>
  <r>
    <s v="INV0066"/>
    <s v="PO0066"/>
    <x v="57"/>
    <x v="65"/>
    <x v="1"/>
  </r>
  <r>
    <s v="INV0067"/>
    <s v="PO0067"/>
    <x v="36"/>
    <x v="66"/>
    <x v="1"/>
  </r>
  <r>
    <s v="INV0068"/>
    <s v="PO0068"/>
    <x v="58"/>
    <x v="67"/>
    <x v="1"/>
  </r>
  <r>
    <s v="INV0069"/>
    <s v="PO0069"/>
    <x v="59"/>
    <x v="68"/>
    <x v="2"/>
  </r>
  <r>
    <s v="INV0070"/>
    <s v="PO0070"/>
    <x v="60"/>
    <x v="69"/>
    <x v="1"/>
  </r>
  <r>
    <s v="INV0071"/>
    <s v="PO0071"/>
    <x v="61"/>
    <x v="70"/>
    <x v="2"/>
  </r>
  <r>
    <s v="INV0072"/>
    <s v="PO0072"/>
    <x v="27"/>
    <x v="71"/>
    <x v="2"/>
  </r>
  <r>
    <s v="INV0073"/>
    <s v="PO0073"/>
    <x v="62"/>
    <x v="72"/>
    <x v="2"/>
  </r>
  <r>
    <s v="INV0074"/>
    <s v="PO0074"/>
    <x v="63"/>
    <x v="73"/>
    <x v="2"/>
  </r>
  <r>
    <s v="INV0075"/>
    <s v="PO0075"/>
    <x v="64"/>
    <x v="74"/>
    <x v="2"/>
  </r>
  <r>
    <s v="INV0076"/>
    <s v="PO0076"/>
    <x v="65"/>
    <x v="75"/>
    <x v="0"/>
  </r>
  <r>
    <s v="INV0077"/>
    <s v="PO0077"/>
    <x v="66"/>
    <x v="76"/>
    <x v="0"/>
  </r>
  <r>
    <s v="INV0078"/>
    <s v="PO0078"/>
    <x v="67"/>
    <x v="77"/>
    <x v="0"/>
  </r>
  <r>
    <s v="INV0079"/>
    <s v="PO0079"/>
    <x v="68"/>
    <x v="78"/>
    <x v="1"/>
  </r>
  <r>
    <s v="INV0080"/>
    <s v="PO0080"/>
    <x v="69"/>
    <x v="79"/>
    <x v="0"/>
  </r>
  <r>
    <s v="INV0081"/>
    <s v="PO0081"/>
    <x v="70"/>
    <x v="80"/>
    <x v="2"/>
  </r>
  <r>
    <s v="INV0082"/>
    <s v="PO0082"/>
    <x v="65"/>
    <x v="81"/>
    <x v="1"/>
  </r>
  <r>
    <s v="INV0083"/>
    <s v="PO0083"/>
    <x v="58"/>
    <x v="82"/>
    <x v="1"/>
  </r>
  <r>
    <s v="INV0084"/>
    <s v="PO0084"/>
    <x v="71"/>
    <x v="83"/>
    <x v="0"/>
  </r>
  <r>
    <s v="INV0085"/>
    <s v="PO0085"/>
    <x v="72"/>
    <x v="84"/>
    <x v="2"/>
  </r>
  <r>
    <s v="INV0086"/>
    <s v="PO0086"/>
    <x v="73"/>
    <x v="85"/>
    <x v="1"/>
  </r>
  <r>
    <s v="INV0087"/>
    <s v="PO0087"/>
    <x v="56"/>
    <x v="86"/>
    <x v="2"/>
  </r>
  <r>
    <s v="INV0088"/>
    <s v="PO0088"/>
    <x v="74"/>
    <x v="87"/>
    <x v="2"/>
  </r>
  <r>
    <s v="INV0089"/>
    <s v="PO0089"/>
    <x v="6"/>
    <x v="88"/>
    <x v="2"/>
  </r>
  <r>
    <s v="INV0090"/>
    <s v="PO0090"/>
    <x v="75"/>
    <x v="89"/>
    <x v="1"/>
  </r>
  <r>
    <s v="INV0091"/>
    <s v="PO0091"/>
    <x v="76"/>
    <x v="90"/>
    <x v="2"/>
  </r>
  <r>
    <s v="INV0092"/>
    <s v="PO0092"/>
    <x v="77"/>
    <x v="91"/>
    <x v="1"/>
  </r>
  <r>
    <s v="INV0093"/>
    <s v="PO0093"/>
    <x v="27"/>
    <x v="92"/>
    <x v="0"/>
  </r>
  <r>
    <s v="INV0094"/>
    <s v="PO0094"/>
    <x v="78"/>
    <x v="93"/>
    <x v="1"/>
  </r>
  <r>
    <s v="INV0095"/>
    <s v="PO0095"/>
    <x v="79"/>
    <x v="94"/>
    <x v="1"/>
  </r>
  <r>
    <s v="INV0096"/>
    <s v="PO0096"/>
    <x v="8"/>
    <x v="95"/>
    <x v="2"/>
  </r>
  <r>
    <s v="INV0097"/>
    <s v="PO0097"/>
    <x v="62"/>
    <x v="96"/>
    <x v="0"/>
  </r>
  <r>
    <s v="INV0098"/>
    <s v="PO0098"/>
    <x v="80"/>
    <x v="97"/>
    <x v="0"/>
  </r>
  <r>
    <s v="INV0099"/>
    <s v="PO0099"/>
    <x v="81"/>
    <x v="98"/>
    <x v="0"/>
  </r>
  <r>
    <s v="INV0100"/>
    <s v="PO0100"/>
    <x v="82"/>
    <x v="99"/>
    <x v="2"/>
  </r>
  <r>
    <s v="INV0101"/>
    <s v="PO0101"/>
    <x v="23"/>
    <x v="100"/>
    <x v="0"/>
  </r>
  <r>
    <s v="INV0102"/>
    <s v="PO0102"/>
    <x v="32"/>
    <x v="101"/>
    <x v="0"/>
  </r>
  <r>
    <s v="INV0103"/>
    <s v="PO0103"/>
    <x v="83"/>
    <x v="102"/>
    <x v="0"/>
  </r>
  <r>
    <s v="INV0104"/>
    <s v="PO0104"/>
    <x v="84"/>
    <x v="103"/>
    <x v="0"/>
  </r>
  <r>
    <s v="INV0105"/>
    <s v="PO0105"/>
    <x v="85"/>
    <x v="104"/>
    <x v="0"/>
  </r>
  <r>
    <s v="INV0106"/>
    <s v="PO0106"/>
    <x v="48"/>
    <x v="105"/>
    <x v="1"/>
  </r>
  <r>
    <s v="INV0107"/>
    <s v="PO0107"/>
    <x v="56"/>
    <x v="106"/>
    <x v="0"/>
  </r>
  <r>
    <s v="INV0108"/>
    <s v="PO0108"/>
    <x v="86"/>
    <x v="107"/>
    <x v="2"/>
  </r>
  <r>
    <s v="INV0109"/>
    <s v="PO0109"/>
    <x v="25"/>
    <x v="108"/>
    <x v="2"/>
  </r>
  <r>
    <s v="INV0110"/>
    <s v="PO0110"/>
    <x v="87"/>
    <x v="109"/>
    <x v="2"/>
  </r>
  <r>
    <s v="INV0111"/>
    <s v="PO0111"/>
    <x v="88"/>
    <x v="110"/>
    <x v="0"/>
  </r>
  <r>
    <s v="INV0112"/>
    <s v="PO0112"/>
    <x v="52"/>
    <x v="111"/>
    <x v="0"/>
  </r>
  <r>
    <s v="INV0113"/>
    <s v="PO0113"/>
    <x v="89"/>
    <x v="112"/>
    <x v="0"/>
  </r>
  <r>
    <s v="INV0114"/>
    <s v="PO0114"/>
    <x v="90"/>
    <x v="113"/>
    <x v="2"/>
  </r>
  <r>
    <s v="INV0115"/>
    <s v="PO0115"/>
    <x v="91"/>
    <x v="114"/>
    <x v="2"/>
  </r>
  <r>
    <s v="INV0116"/>
    <s v="PO0116"/>
    <x v="92"/>
    <x v="115"/>
    <x v="2"/>
  </r>
  <r>
    <s v="INV0117"/>
    <s v="PO0117"/>
    <x v="93"/>
    <x v="116"/>
    <x v="2"/>
  </r>
  <r>
    <s v="INV0118"/>
    <s v="PO0118"/>
    <x v="69"/>
    <x v="117"/>
    <x v="1"/>
  </r>
  <r>
    <s v="INV0119"/>
    <s v="PO0119"/>
    <x v="61"/>
    <x v="118"/>
    <x v="2"/>
  </r>
  <r>
    <s v="INV0120"/>
    <s v="PO0120"/>
    <x v="1"/>
    <x v="119"/>
    <x v="0"/>
  </r>
  <r>
    <s v="INV0121"/>
    <s v="PO0121"/>
    <x v="91"/>
    <x v="120"/>
    <x v="1"/>
  </r>
  <r>
    <s v="INV0122"/>
    <s v="PO0122"/>
    <x v="94"/>
    <x v="121"/>
    <x v="1"/>
  </r>
  <r>
    <s v="INV0123"/>
    <s v="PO0123"/>
    <x v="51"/>
    <x v="122"/>
    <x v="0"/>
  </r>
  <r>
    <s v="INV0124"/>
    <s v="PO0124"/>
    <x v="3"/>
    <x v="123"/>
    <x v="0"/>
  </r>
  <r>
    <s v="INV0125"/>
    <s v="PO0125"/>
    <x v="95"/>
    <x v="124"/>
    <x v="2"/>
  </r>
  <r>
    <s v="INV0126"/>
    <s v="PO0126"/>
    <x v="3"/>
    <x v="125"/>
    <x v="1"/>
  </r>
  <r>
    <s v="INV0127"/>
    <s v="PO0127"/>
    <x v="96"/>
    <x v="126"/>
    <x v="0"/>
  </r>
  <r>
    <s v="INV0128"/>
    <s v="PO0128"/>
    <x v="60"/>
    <x v="127"/>
    <x v="1"/>
  </r>
  <r>
    <s v="INV0129"/>
    <s v="PO0129"/>
    <x v="31"/>
    <x v="128"/>
    <x v="1"/>
  </r>
  <r>
    <s v="INV0130"/>
    <s v="PO0130"/>
    <x v="8"/>
    <x v="129"/>
    <x v="2"/>
  </r>
  <r>
    <s v="INV0131"/>
    <s v="PO0131"/>
    <x v="97"/>
    <x v="130"/>
    <x v="0"/>
  </r>
  <r>
    <s v="INV0132"/>
    <s v="PO0132"/>
    <x v="98"/>
    <x v="131"/>
    <x v="2"/>
  </r>
  <r>
    <s v="INV0133"/>
    <s v="PO0133"/>
    <x v="99"/>
    <x v="132"/>
    <x v="2"/>
  </r>
  <r>
    <s v="INV0134"/>
    <s v="PO0134"/>
    <x v="100"/>
    <x v="133"/>
    <x v="2"/>
  </r>
  <r>
    <s v="INV0135"/>
    <s v="PO0135"/>
    <x v="77"/>
    <x v="134"/>
    <x v="1"/>
  </r>
  <r>
    <s v="INV0136"/>
    <s v="PO0136"/>
    <x v="69"/>
    <x v="135"/>
    <x v="2"/>
  </r>
  <r>
    <s v="INV0137"/>
    <s v="PO0137"/>
    <x v="76"/>
    <x v="136"/>
    <x v="1"/>
  </r>
  <r>
    <s v="INV0138"/>
    <s v="PO0138"/>
    <x v="60"/>
    <x v="137"/>
    <x v="1"/>
  </r>
  <r>
    <s v="INV0139"/>
    <s v="PO0139"/>
    <x v="101"/>
    <x v="138"/>
    <x v="2"/>
  </r>
  <r>
    <s v="INV0140"/>
    <s v="PO0140"/>
    <x v="19"/>
    <x v="139"/>
    <x v="1"/>
  </r>
  <r>
    <s v="INV0141"/>
    <s v="PO0141"/>
    <x v="102"/>
    <x v="140"/>
    <x v="2"/>
  </r>
  <r>
    <s v="INV0142"/>
    <s v="PO0142"/>
    <x v="103"/>
    <x v="141"/>
    <x v="2"/>
  </r>
  <r>
    <s v="INV0143"/>
    <s v="PO0143"/>
    <x v="104"/>
    <x v="142"/>
    <x v="1"/>
  </r>
  <r>
    <s v="INV0144"/>
    <s v="PO0144"/>
    <x v="105"/>
    <x v="143"/>
    <x v="2"/>
  </r>
  <r>
    <s v="INV0145"/>
    <s v="PO0145"/>
    <x v="97"/>
    <x v="144"/>
    <x v="2"/>
  </r>
  <r>
    <s v="INV0146"/>
    <s v="PO0146"/>
    <x v="30"/>
    <x v="145"/>
    <x v="0"/>
  </r>
  <r>
    <s v="INV0147"/>
    <s v="PO0147"/>
    <x v="106"/>
    <x v="146"/>
    <x v="1"/>
  </r>
  <r>
    <s v="INV0148"/>
    <s v="PO0148"/>
    <x v="107"/>
    <x v="147"/>
    <x v="1"/>
  </r>
  <r>
    <s v="INV0149"/>
    <s v="PO0149"/>
    <x v="108"/>
    <x v="148"/>
    <x v="0"/>
  </r>
  <r>
    <s v="INV0150"/>
    <s v="PO0150"/>
    <x v="109"/>
    <x v="149"/>
    <x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n v="150000000"/>
  </r>
  <r>
    <x v="0"/>
    <x v="1"/>
    <n v="280000000"/>
  </r>
  <r>
    <x v="0"/>
    <x v="2"/>
    <n v="270000000"/>
  </r>
  <r>
    <x v="0"/>
    <x v="3"/>
    <n v="130000000"/>
  </r>
  <r>
    <x v="0"/>
    <x v="4"/>
    <n v="270000000"/>
  </r>
  <r>
    <x v="0"/>
    <x v="5"/>
    <n v="60000000"/>
  </r>
  <r>
    <x v="1"/>
    <x v="0"/>
    <n v="130000000"/>
  </r>
  <r>
    <x v="1"/>
    <x v="1"/>
    <n v="250000000"/>
  </r>
  <r>
    <x v="1"/>
    <x v="2"/>
    <n v="220000000"/>
  </r>
  <r>
    <x v="1"/>
    <x v="3"/>
    <n v="260000000"/>
  </r>
  <r>
    <x v="1"/>
    <x v="4"/>
    <n v="180000000"/>
  </r>
  <r>
    <x v="1"/>
    <x v="5"/>
    <n v="260000000"/>
  </r>
  <r>
    <x v="2"/>
    <x v="0"/>
    <n v="300000000"/>
  </r>
  <r>
    <x v="2"/>
    <x v="1"/>
    <n v="210000000"/>
  </r>
  <r>
    <x v="2"/>
    <x v="2"/>
    <n v="130000000"/>
  </r>
  <r>
    <x v="2"/>
    <x v="3"/>
    <n v="140000000"/>
  </r>
  <r>
    <x v="2"/>
    <x v="4"/>
    <n v="250000000"/>
  </r>
  <r>
    <x v="2"/>
    <x v="5"/>
    <n v="110000000"/>
  </r>
  <r>
    <x v="3"/>
    <x v="0"/>
    <n v="70000000"/>
  </r>
  <r>
    <x v="3"/>
    <x v="1"/>
    <n v="210000000"/>
  </r>
  <r>
    <x v="3"/>
    <x v="2"/>
    <n v="50000000"/>
  </r>
  <r>
    <x v="3"/>
    <x v="3"/>
    <n v="100000000"/>
  </r>
  <r>
    <x v="3"/>
    <x v="4"/>
    <n v="130000000"/>
  </r>
  <r>
    <x v="3"/>
    <x v="5"/>
    <n v="120000000"/>
  </r>
  <r>
    <x v="4"/>
    <x v="0"/>
    <n v="280000000"/>
  </r>
  <r>
    <x v="4"/>
    <x v="1"/>
    <n v="110000000"/>
  </r>
  <r>
    <x v="4"/>
    <x v="2"/>
    <n v="100000000"/>
  </r>
  <r>
    <x v="4"/>
    <x v="3"/>
    <n v="280000000"/>
  </r>
  <r>
    <x v="4"/>
    <x v="4"/>
    <n v="150000000"/>
  </r>
  <r>
    <x v="4"/>
    <x v="5"/>
    <n v="110000000"/>
  </r>
  <r>
    <x v="5"/>
    <x v="0"/>
    <n v="170000000"/>
  </r>
  <r>
    <x v="5"/>
    <x v="1"/>
    <n v="150000000"/>
  </r>
  <r>
    <x v="5"/>
    <x v="2"/>
    <n v="240000000"/>
  </r>
  <r>
    <x v="5"/>
    <x v="3"/>
    <n v="120000000"/>
  </r>
  <r>
    <x v="5"/>
    <x v="4"/>
    <n v="170000000"/>
  </r>
  <r>
    <x v="5"/>
    <x v="5"/>
    <n v="25000000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PO0001"/>
    <d v="2025-05-18T00:00:00"/>
    <s v="Airports"/>
    <s v="Security Scanner"/>
    <s v="SUP004"/>
    <s v="Japan"/>
    <n v="343"/>
    <n v="16830.169999999998"/>
    <n v="5772748.3099999996"/>
    <s v="Open"/>
    <d v="2025-07-23T00:00:00"/>
    <n v="19387087.960000001"/>
    <s v="Pending"/>
    <s v="Hitachi"/>
  </r>
  <r>
    <s v="PO0002"/>
    <d v="2025-04-22T00:00:00"/>
    <s v="Airports"/>
    <s v="Security Scanner"/>
    <s v="SUP005"/>
    <s v="France"/>
    <n v="119"/>
    <n v="14186.44"/>
    <n v="1688186.36"/>
    <s v="Closed"/>
    <d v="2025-04-26T00:00:00"/>
    <n v="40758532.539999999"/>
    <s v="Paid"/>
    <s v="Schneider Electric"/>
  </r>
  <r>
    <s v="PO0003"/>
    <d v="2025-05-25T00:00:00"/>
    <s v="Solar"/>
    <s v="Solar Module"/>
    <s v="SUP001"/>
    <s v="India"/>
    <n v="292"/>
    <n v="109007.2"/>
    <n v="31830102.399999999"/>
    <s v="Open"/>
    <d v="2025-05-13T00:00:00"/>
    <n v="9228667.6500000004"/>
    <s v="Overdue"/>
    <s v="Siemens India"/>
  </r>
  <r>
    <s v="PO0004"/>
    <d v="2025-02-26T00:00:00"/>
    <s v="Mining"/>
    <s v="Excavator Parts"/>
    <s v="SUP005"/>
    <s v="France"/>
    <n v="309"/>
    <n v="102186.72"/>
    <n v="31575696.48"/>
    <s v="Open"/>
    <d v="2025-03-24T00:00:00"/>
    <n v="41155487.100000001"/>
    <s v="Paid"/>
    <s v="Schneider Electric"/>
  </r>
  <r>
    <s v="PO0005"/>
    <d v="2025-01-31T00:00:00"/>
    <s v="Energy"/>
    <s v="Turbine Part"/>
    <s v="SUP003"/>
    <s v="Australia"/>
    <n v="224"/>
    <n v="40342.5"/>
    <n v="9036720"/>
    <s v="In Transit"/>
    <d v="2025-06-10T00:00:00"/>
    <n v="11883511.310000001"/>
    <s v="Pending"/>
    <s v="BHP Supplies"/>
  </r>
  <r>
    <s v="PO0006"/>
    <d v="2025-02-18T00:00:00"/>
    <s v="Airports"/>
    <s v="Security Scanner"/>
    <s v="SUP001"/>
    <s v="India"/>
    <n v="307"/>
    <n v="144945.07999999999"/>
    <n v="44498139.560000002"/>
    <s v="Closed"/>
    <d v="2025-05-03T00:00:00"/>
    <n v="18156736.199999999"/>
    <s v="Overdue"/>
    <s v="Siemens India"/>
  </r>
  <r>
    <s v="PO0007"/>
    <d v="2025-05-08T00:00:00"/>
    <s v="Solar"/>
    <s v="Solar Module"/>
    <s v="SUP005"/>
    <s v="France"/>
    <n v="40"/>
    <n v="156657.35"/>
    <n v="6266294"/>
    <s v="In Transit"/>
    <d v="2025-01-26T00:00:00"/>
    <n v="25643050.530000001"/>
    <s v="Pending"/>
    <s v="Schneider Electric"/>
  </r>
  <r>
    <s v="PO0008"/>
    <d v="2025-04-27T00:00:00"/>
    <s v="Energy"/>
    <s v="Transformer"/>
    <s v="SUP003"/>
    <s v="Australia"/>
    <n v="248"/>
    <n v="148462.66"/>
    <n v="36818739.68"/>
    <s v="Closed"/>
    <d v="2025-07-17T00:00:00"/>
    <n v="8080875.4400000004"/>
    <s v="Pending"/>
    <s v="BHP Supplies"/>
  </r>
  <r>
    <s v="PO0009"/>
    <d v="2025-01-21T00:00:00"/>
    <s v="Airports"/>
    <s v="Security Scanner"/>
    <s v="SUP002"/>
    <s v="China"/>
    <n v="367"/>
    <n v="196058.26"/>
    <n v="71953381.420000002"/>
    <s v="In Transit"/>
    <d v="2025-01-22T00:00:00"/>
    <n v="32512345.280000001"/>
    <s v="Pending"/>
    <s v="Shanghai Solar Tech"/>
  </r>
  <r>
    <s v="PO0010"/>
    <d v="2025-06-05T00:00:00"/>
    <s v="Airports"/>
    <s v="HVAC"/>
    <s v="SUP003"/>
    <s v="Australia"/>
    <n v="383"/>
    <n v="114964.38"/>
    <n v="44031357.539999999"/>
    <s v="Open"/>
    <d v="2025-05-27T00:00:00"/>
    <n v="27276369.32"/>
    <s v="Paid"/>
    <s v="BHP Supplies"/>
  </r>
  <r>
    <s v="PO0011"/>
    <d v="2025-05-06T00:00:00"/>
    <s v="Solar"/>
    <s v="Inverter"/>
    <s v="SUP002"/>
    <s v="China"/>
    <n v="397"/>
    <n v="88803.67"/>
    <n v="35255056.990000002"/>
    <s v="Closed"/>
    <d v="2025-04-25T00:00:00"/>
    <n v="44185383.859999999"/>
    <s v="Paid"/>
    <s v="Shanghai Solar Tech"/>
  </r>
  <r>
    <s v="PO0012"/>
    <d v="2025-03-22T00:00:00"/>
    <s v="Solar"/>
    <s v="Solar Module"/>
    <s v="SUP005"/>
    <s v="France"/>
    <n v="303"/>
    <n v="198328.07"/>
    <n v="60093405.210000001"/>
    <s v="Closed"/>
    <d v="2025-03-14T00:00:00"/>
    <n v="31267618.510000002"/>
    <s v="Paid"/>
    <s v="Schneider Electric"/>
  </r>
  <r>
    <s v="PO0013"/>
    <d v="2025-04-27T00:00:00"/>
    <s v="Data Centers"/>
    <s v="Cooling Unit"/>
    <s v="SUP005"/>
    <s v="France"/>
    <n v="264"/>
    <n v="147074.32999999999"/>
    <n v="38827623.119999997"/>
    <s v="Open"/>
    <d v="2025-01-30T00:00:00"/>
    <n v="21110907.739999998"/>
    <s v="Overdue"/>
    <s v="Schneider Electric"/>
  </r>
  <r>
    <s v="PO0014"/>
    <d v="2025-01-16T00:00:00"/>
    <s v="Solar"/>
    <s v="Inverter"/>
    <s v="SUP004"/>
    <s v="Japan"/>
    <n v="366"/>
    <n v="167717.29"/>
    <n v="61384528.140000001"/>
    <s v="In Transit"/>
    <d v="2025-04-30T00:00:00"/>
    <n v="8742273.9199999999"/>
    <s v="Paid"/>
    <s v="Hitachi"/>
  </r>
  <r>
    <s v="PO0015"/>
    <d v="2025-04-25T00:00:00"/>
    <s v="Data Centers"/>
    <s v="Cooling Unit"/>
    <s v="SUP006"/>
    <s v="UAE"/>
    <n v="305"/>
    <n v="248308.51"/>
    <n v="75734095.549999997"/>
    <s v="Closed"/>
    <d v="2025-04-22T00:00:00"/>
    <n v="23100095.91"/>
    <s v="Overdue"/>
    <s v="DP World Industrial"/>
  </r>
  <r>
    <s v="PO0016"/>
    <d v="2025-04-29T00:00:00"/>
    <s v="Data Centers"/>
    <s v="Cooling Unit"/>
    <s v="SUP006"/>
    <s v="UAE"/>
    <n v="187"/>
    <n v="10527.92"/>
    <n v="1968721.04"/>
    <s v="Closed"/>
    <d v="2025-03-07T00:00:00"/>
    <n v="37424054.530000001"/>
    <s v="Overdue"/>
    <s v="DP World Industrial"/>
  </r>
  <r>
    <s v="PO0017"/>
    <d v="2025-03-15T00:00:00"/>
    <s v="Mining"/>
    <s v="Excavator Parts"/>
    <s v="SUP004"/>
    <s v="Japan"/>
    <n v="40"/>
    <n v="58460.9"/>
    <n v="2338436"/>
    <s v="Open"/>
    <d v="2025-07-19T00:00:00"/>
    <n v="6146120.4000000004"/>
    <s v="Pending"/>
    <s v="Hitachi"/>
  </r>
  <r>
    <s v="PO0018"/>
    <d v="2025-05-08T00:00:00"/>
    <s v="Data Centers"/>
    <s v="Server Rack"/>
    <s v="SUP004"/>
    <s v="Japan"/>
    <n v="210"/>
    <n v="229619.98"/>
    <n v="48220195.799999997"/>
    <s v="Open"/>
    <d v="2025-03-22T00:00:00"/>
    <n v="14041905.84"/>
    <s v="Pending"/>
    <s v="Hitachi"/>
  </r>
  <r>
    <s v="PO0019"/>
    <d v="2025-02-05T00:00:00"/>
    <s v="Mining"/>
    <s v="Conveyor Belt"/>
    <s v="SUP004"/>
    <s v="Japan"/>
    <n v="291"/>
    <n v="73070.59"/>
    <n v="21263541.690000001"/>
    <s v="Closed"/>
    <d v="2025-04-11T00:00:00"/>
    <n v="12777419.539999999"/>
    <s v="Pending"/>
    <s v="Hitachi"/>
  </r>
  <r>
    <s v="PO0020"/>
    <d v="2025-06-24T00:00:00"/>
    <s v="Energy"/>
    <s v="Transformer"/>
    <s v="SUP006"/>
    <s v="UAE"/>
    <n v="222"/>
    <n v="246684.43"/>
    <n v="54763943.460000001"/>
    <s v="Closed"/>
    <d v="2025-02-25T00:00:00"/>
    <n v="22025948.300000001"/>
    <s v="Paid"/>
    <s v="DP World Industrial"/>
  </r>
  <r>
    <s v="PO0021"/>
    <d v="2025-06-18T00:00:00"/>
    <s v="Mining"/>
    <s v="Excavator Parts"/>
    <s v="SUP001"/>
    <s v="India"/>
    <n v="100"/>
    <n v="42068.1"/>
    <n v="4206810"/>
    <s v="Open"/>
    <d v="2025-03-09T00:00:00"/>
    <n v="11851650.1"/>
    <s v="Pending"/>
    <s v="Siemens India"/>
  </r>
  <r>
    <s v="PO0022"/>
    <d v="2025-01-02T00:00:00"/>
    <s v="Solar"/>
    <s v="Inverter"/>
    <s v="SUP005"/>
    <s v="France"/>
    <n v="103"/>
    <n v="69372.92"/>
    <n v="7145410.7599999998"/>
    <s v="Open"/>
    <d v="2025-06-03T00:00:00"/>
    <n v="9493681.6999999993"/>
    <s v="Paid"/>
    <s v="Schneider Electric"/>
  </r>
  <r>
    <s v="PO0023"/>
    <d v="2025-02-02T00:00:00"/>
    <s v="Logistics"/>
    <s v="Diesel Pump"/>
    <s v="SUP005"/>
    <s v="France"/>
    <n v="299"/>
    <n v="83059.86"/>
    <n v="24834898.140000001"/>
    <s v="In Transit"/>
    <d v="2025-04-17T00:00:00"/>
    <n v="12657521.91"/>
    <s v="Paid"/>
    <s v="Schneider Electric"/>
  </r>
  <r>
    <s v="PO0024"/>
    <d v="2025-06-24T00:00:00"/>
    <s v="Energy"/>
    <s v="Turbine Part"/>
    <s v="SUP004"/>
    <s v="Japan"/>
    <n v="470"/>
    <n v="218389.98"/>
    <n v="102643290.59999999"/>
    <s v="In Transit"/>
    <d v="2025-05-15T00:00:00"/>
    <n v="26362806.469999999"/>
    <s v="Overdue"/>
    <s v="Hitachi"/>
  </r>
  <r>
    <s v="PO0025"/>
    <d v="2025-06-12T00:00:00"/>
    <s v="Logistics"/>
    <s v="Diesel Pump"/>
    <s v="SUP004"/>
    <s v="Japan"/>
    <n v="211"/>
    <n v="30366.59"/>
    <n v="6407350.4900000002"/>
    <s v="Closed"/>
    <d v="2025-01-31T00:00:00"/>
    <n v="32700994.949999999"/>
    <s v="Paid"/>
    <s v="Hitachi"/>
  </r>
  <r>
    <s v="PO0026"/>
    <d v="2025-01-29T00:00:00"/>
    <s v="Solar"/>
    <s v="Solar Module"/>
    <s v="SUP001"/>
    <s v="India"/>
    <n v="116"/>
    <n v="112953.58"/>
    <n v="13102615.279999999"/>
    <s v="Closed"/>
    <d v="2025-02-01T00:00:00"/>
    <n v="324155.8"/>
    <s v="Paid"/>
    <s v="Siemens India"/>
  </r>
  <r>
    <s v="PO0027"/>
    <d v="2025-05-18T00:00:00"/>
    <s v="Energy"/>
    <s v="Turbine Part"/>
    <s v="SUP001"/>
    <s v="India"/>
    <n v="10"/>
    <n v="143861.98000000001"/>
    <n v="1438619.8"/>
    <s v="Open"/>
    <d v="2025-04-30T00:00:00"/>
    <n v="45727340.140000001"/>
    <s v="Paid"/>
    <s v="Siemens India"/>
  </r>
  <r>
    <s v="PO0028"/>
    <d v="2025-04-07T00:00:00"/>
    <s v="Airports"/>
    <s v="Security Scanner"/>
    <s v="SUP001"/>
    <s v="India"/>
    <n v="457"/>
    <n v="55948.41"/>
    <n v="25568423.370000001"/>
    <s v="Open"/>
    <d v="2025-03-22T00:00:00"/>
    <n v="11721344.640000001"/>
    <s v="Paid"/>
    <s v="Siemens India"/>
  </r>
  <r>
    <s v="PO0029"/>
    <d v="2025-02-01T00:00:00"/>
    <s v="Data Centers"/>
    <s v="Cooling Unit"/>
    <s v="SUP003"/>
    <s v="Australia"/>
    <n v="318"/>
    <n v="94220.04"/>
    <n v="29961972.719999999"/>
    <s v="Open"/>
    <d v="2025-02-23T00:00:00"/>
    <n v="30064616.25"/>
    <s v="Overdue"/>
    <s v="BHP Supplies"/>
  </r>
  <r>
    <s v="PO0030"/>
    <d v="2025-02-06T00:00:00"/>
    <s v="Logistics"/>
    <s v="Diesel Pump"/>
    <s v="SUP004"/>
    <s v="Japan"/>
    <n v="257"/>
    <n v="81403.820000000007"/>
    <n v="20920781.739999998"/>
    <s v="Open"/>
    <d v="2025-02-24T00:00:00"/>
    <n v="46515670.020000003"/>
    <s v="Pending"/>
    <s v="Hitachi"/>
  </r>
  <r>
    <s v="PO0031"/>
    <d v="2025-06-27T00:00:00"/>
    <s v="Data Centers"/>
    <s v="Cooling Unit"/>
    <s v="SUP006"/>
    <s v="UAE"/>
    <n v="145"/>
    <n v="122262.38"/>
    <n v="17728045.100000001"/>
    <s v="Open"/>
    <d v="2025-05-17T00:00:00"/>
    <n v="43319753.689999998"/>
    <s v="Pending"/>
    <s v="DP World Industrial"/>
  </r>
  <r>
    <s v="PO0032"/>
    <d v="2025-04-03T00:00:00"/>
    <s v="Energy"/>
    <s v="Turbine Part"/>
    <s v="SUP002"/>
    <s v="China"/>
    <n v="496"/>
    <n v="238245.13"/>
    <n v="118169584.48"/>
    <s v="Open"/>
    <d v="2025-06-09T00:00:00"/>
    <n v="13071416.289999999"/>
    <s v="Overdue"/>
    <s v="Shanghai Solar Tech"/>
  </r>
  <r>
    <s v="PO0033"/>
    <d v="2025-01-24T00:00:00"/>
    <s v="Data Centers"/>
    <s v="Server Rack"/>
    <s v="SUP005"/>
    <s v="France"/>
    <n v="162"/>
    <n v="244732.79999999999"/>
    <n v="39646713.600000001"/>
    <s v="In Transit"/>
    <d v="2025-01-07T00:00:00"/>
    <n v="5378425.1100000003"/>
    <s v="Overdue"/>
    <s v="Schneider Electric"/>
  </r>
  <r>
    <s v="PO0034"/>
    <d v="2025-05-17T00:00:00"/>
    <s v="Airports"/>
    <s v="HVAC"/>
    <s v="SUP002"/>
    <s v="China"/>
    <n v="192"/>
    <n v="194124.79"/>
    <n v="37271959.68"/>
    <s v="In Transit"/>
    <d v="2025-07-06T00:00:00"/>
    <n v="31035404.199999999"/>
    <s v="Paid"/>
    <s v="Shanghai Solar Tech"/>
  </r>
  <r>
    <s v="PO0035"/>
    <d v="2025-02-19T00:00:00"/>
    <s v="Energy"/>
    <s v="Transformer"/>
    <s v="SUP006"/>
    <s v="UAE"/>
    <n v="124"/>
    <n v="155240.91"/>
    <n v="19249872.84"/>
    <s v="Open"/>
    <d v="2025-01-15T00:00:00"/>
    <n v="18498556.82"/>
    <s v="Paid"/>
    <s v="DP World Industrial"/>
  </r>
  <r>
    <s v="PO0036"/>
    <d v="2025-01-08T00:00:00"/>
    <s v="Logistics"/>
    <s v="Truck Tyre"/>
    <s v="SUP002"/>
    <s v="China"/>
    <n v="275"/>
    <n v="125731.55"/>
    <n v="34576176.25"/>
    <s v="Open"/>
    <d v="2025-01-17T00:00:00"/>
    <n v="10278424.23"/>
    <s v="Pending"/>
    <s v="Shanghai Solar Tech"/>
  </r>
  <r>
    <s v="PO0037"/>
    <d v="2025-03-30T00:00:00"/>
    <s v="Airports"/>
    <s v="HVAC"/>
    <s v="SUP003"/>
    <s v="Australia"/>
    <n v="109"/>
    <n v="174667.88"/>
    <n v="19038798.920000002"/>
    <s v="Closed"/>
    <d v="2025-01-15T00:00:00"/>
    <n v="30011226.129999999"/>
    <s v="Overdue"/>
    <s v="BHP Supplies"/>
  </r>
  <r>
    <s v="PO0038"/>
    <d v="2025-02-28T00:00:00"/>
    <s v="Data Centers"/>
    <s v="Cooling Unit"/>
    <s v="SUP003"/>
    <s v="Australia"/>
    <n v="51"/>
    <n v="59013.27"/>
    <n v="3009676.77"/>
    <s v="Closed"/>
    <d v="2025-02-27T00:00:00"/>
    <n v="40755711.630000003"/>
    <s v="Pending"/>
    <s v="BHP Supplies"/>
  </r>
  <r>
    <s v="PO0039"/>
    <d v="2025-06-06T00:00:00"/>
    <s v="Mining"/>
    <s v="Conveyor Belt"/>
    <s v="SUP002"/>
    <s v="China"/>
    <n v="257"/>
    <n v="157896.26999999999"/>
    <n v="40579341.390000001"/>
    <s v="Open"/>
    <d v="2025-04-20T00:00:00"/>
    <n v="33948155.030000001"/>
    <s v="Paid"/>
    <s v="Shanghai Solar Tech"/>
  </r>
  <r>
    <s v="PO0040"/>
    <d v="2025-01-31T00:00:00"/>
    <s v="Logistics"/>
    <s v="Diesel Pump"/>
    <s v="SUP006"/>
    <s v="UAE"/>
    <n v="53"/>
    <n v="209488.96"/>
    <n v="11102914.880000001"/>
    <s v="Closed"/>
    <d v="2025-06-13T00:00:00"/>
    <n v="15678567.119999999"/>
    <s v="Paid"/>
    <s v="DP World Industrial"/>
  </r>
  <r>
    <s v="PO0041"/>
    <d v="2025-06-12T00:00:00"/>
    <s v="Data Centers"/>
    <s v="Server Rack"/>
    <s v="SUP004"/>
    <s v="Japan"/>
    <n v="465"/>
    <n v="48737.82"/>
    <n v="22663086.300000001"/>
    <s v="Closed"/>
    <d v="2025-01-14T00:00:00"/>
    <n v="39784530.289999999"/>
    <s v="Overdue"/>
    <s v="Hitachi"/>
  </r>
  <r>
    <s v="PO0042"/>
    <d v="2025-01-22T00:00:00"/>
    <s v="Solar"/>
    <s v="Inverter"/>
    <s v="SUP004"/>
    <s v="Japan"/>
    <n v="215"/>
    <n v="187121.41"/>
    <n v="40231103.149999999"/>
    <s v="In Transit"/>
    <d v="2025-05-09T00:00:00"/>
    <n v="3257226.82"/>
    <s v="Paid"/>
    <s v="Hitachi"/>
  </r>
  <r>
    <s v="PO0043"/>
    <d v="2025-04-30T00:00:00"/>
    <s v="Mining"/>
    <s v="Excavator Parts"/>
    <s v="SUP002"/>
    <s v="China"/>
    <n v="24"/>
    <n v="42031.92"/>
    <n v="1008766.08"/>
    <s v="In Transit"/>
    <d v="2025-07-28T00:00:00"/>
    <n v="19825305.960000001"/>
    <s v="Overdue"/>
    <s v="Shanghai Solar Tech"/>
  </r>
  <r>
    <s v="PO0044"/>
    <d v="2025-05-21T00:00:00"/>
    <s v="Mining"/>
    <s v="Conveyor Belt"/>
    <s v="SUP006"/>
    <s v="UAE"/>
    <n v="489"/>
    <n v="90849.84"/>
    <n v="44425571.759999998"/>
    <s v="In Transit"/>
    <d v="2025-02-14T00:00:00"/>
    <n v="31995179.09"/>
    <s v="Paid"/>
    <s v="DP World Industrial"/>
  </r>
  <r>
    <s v="PO0045"/>
    <d v="2025-06-16T00:00:00"/>
    <s v="Mining"/>
    <s v="Excavator Parts"/>
    <s v="SUP001"/>
    <s v="India"/>
    <n v="419"/>
    <n v="242868.09"/>
    <n v="101761729.70999999"/>
    <s v="Open"/>
    <d v="2025-06-22T00:00:00"/>
    <n v="8268096.9800000004"/>
    <s v="Overdue"/>
    <s v="Siemens India"/>
  </r>
  <r>
    <s v="PO0046"/>
    <d v="2025-02-24T00:00:00"/>
    <s v="Energy"/>
    <s v="Turbine Part"/>
    <s v="SUP004"/>
    <s v="Japan"/>
    <n v="456"/>
    <n v="52727.33"/>
    <n v="24043662.48"/>
    <s v="Open"/>
    <d v="2025-03-16T00:00:00"/>
    <n v="20548467.18"/>
    <s v="Pending"/>
    <s v="Hitachi"/>
  </r>
  <r>
    <s v="PO0047"/>
    <d v="2025-05-31T00:00:00"/>
    <s v="Airports"/>
    <s v="Security Scanner"/>
    <s v="SUP003"/>
    <s v="Australia"/>
    <n v="266"/>
    <n v="63932.15"/>
    <n v="17005951.899999999"/>
    <s v="Closed"/>
    <d v="2025-06-25T00:00:00"/>
    <n v="15449028.560000001"/>
    <s v="Paid"/>
    <s v="BHP Supplies"/>
  </r>
  <r>
    <s v="PO0048"/>
    <d v="2025-04-01T00:00:00"/>
    <s v="Airports"/>
    <s v="HVAC"/>
    <s v="SUP002"/>
    <s v="China"/>
    <n v="41"/>
    <n v="227954.18"/>
    <n v="9346121.3800000008"/>
    <s v="Closed"/>
    <d v="2025-03-26T00:00:00"/>
    <n v="37292344.490000002"/>
    <s v="Pending"/>
    <s v="Shanghai Solar Tech"/>
  </r>
  <r>
    <s v="PO0049"/>
    <d v="2025-05-15T00:00:00"/>
    <s v="Data Centers"/>
    <s v="Cooling Unit"/>
    <s v="SUP005"/>
    <s v="France"/>
    <n v="76"/>
    <n v="135297.12"/>
    <n v="10282581.119999999"/>
    <s v="In Transit"/>
    <d v="2025-04-22T00:00:00"/>
    <n v="20880624.57"/>
    <s v="Pending"/>
    <s v="Schneider Electric"/>
  </r>
  <r>
    <s v="PO0050"/>
    <d v="2025-02-08T00:00:00"/>
    <s v="Solar"/>
    <s v="Inverter"/>
    <s v="SUP002"/>
    <s v="China"/>
    <n v="321"/>
    <n v="5963.46"/>
    <n v="1914270.66"/>
    <s v="Open"/>
    <d v="2025-06-19T00:00:00"/>
    <n v="9940359.3499999996"/>
    <s v="Overdue"/>
    <s v="Shanghai Solar Tech"/>
  </r>
  <r>
    <s v="PO0051"/>
    <d v="2025-01-16T00:00:00"/>
    <s v="Mining"/>
    <s v="Conveyor Belt"/>
    <s v="SUP005"/>
    <s v="France"/>
    <n v="381"/>
    <n v="34482.47"/>
    <n v="13137821.07"/>
    <s v="Closed"/>
    <d v="2025-04-19T00:00:00"/>
    <n v="10262991.83"/>
    <s v="Paid"/>
    <s v="Schneider Electric"/>
  </r>
  <r>
    <s v="PO0052"/>
    <d v="2025-03-05T00:00:00"/>
    <s v="Data Centers"/>
    <s v="Cooling Unit"/>
    <s v="SUP001"/>
    <s v="India"/>
    <n v="462"/>
    <n v="142272.54999999999"/>
    <n v="65729918.100000001"/>
    <s v="Open"/>
    <d v="2025-04-27T00:00:00"/>
    <n v="45091366.020000003"/>
    <s v="Pending"/>
    <s v="Siemens India"/>
  </r>
  <r>
    <s v="PO0053"/>
    <d v="2025-01-08T00:00:00"/>
    <s v="Airports"/>
    <s v="Security Scanner"/>
    <s v="SUP001"/>
    <s v="India"/>
    <n v="269"/>
    <n v="115783.1"/>
    <n v="31145653.899999999"/>
    <s v="Open"/>
    <d v="2025-02-04T00:00:00"/>
    <n v="41036392.200000003"/>
    <s v="Pending"/>
    <s v="Siemens India"/>
  </r>
  <r>
    <s v="PO0054"/>
    <d v="2025-02-21T00:00:00"/>
    <s v="Logistics"/>
    <s v="Diesel Pump"/>
    <s v="SUP005"/>
    <s v="France"/>
    <n v="268"/>
    <n v="153503.73000000001"/>
    <n v="41138999.640000001"/>
    <s v="In Transit"/>
    <d v="2025-06-02T00:00:00"/>
    <n v="44153613.530000001"/>
    <s v="Pending"/>
    <s v="Schneider Electric"/>
  </r>
  <r>
    <s v="PO0055"/>
    <d v="2025-05-10T00:00:00"/>
    <s v="Airports"/>
    <s v="HVAC"/>
    <s v="SUP005"/>
    <s v="France"/>
    <n v="283"/>
    <n v="202803.72"/>
    <n v="57393452.759999998"/>
    <s v="Open"/>
    <d v="2025-07-22T00:00:00"/>
    <n v="8210974.5099999998"/>
    <s v="Paid"/>
    <s v="Schneider Electric"/>
  </r>
  <r>
    <s v="PO0056"/>
    <d v="2025-04-25T00:00:00"/>
    <s v="Data Centers"/>
    <s v="Cooling Unit"/>
    <s v="SUP005"/>
    <s v="France"/>
    <n v="467"/>
    <n v="236100.42"/>
    <n v="110258896.14"/>
    <s v="Open"/>
    <d v="2025-01-19T00:00:00"/>
    <n v="27622238.02"/>
    <s v="Overdue"/>
    <s v="Schneider Electric"/>
  </r>
  <r>
    <s v="PO0057"/>
    <d v="2025-06-21T00:00:00"/>
    <s v="Logistics"/>
    <s v="Truck Tyre"/>
    <s v="SUP004"/>
    <s v="Japan"/>
    <n v="236"/>
    <n v="82415.05"/>
    <n v="19449951.800000001"/>
    <s v="Open"/>
    <d v="2025-04-17T00:00:00"/>
    <n v="4542652.49"/>
    <s v="Overdue"/>
    <s v="Hitachi"/>
  </r>
  <r>
    <s v="PO0058"/>
    <d v="2025-02-01T00:00:00"/>
    <s v="Logistics"/>
    <s v="Truck Tyre"/>
    <s v="SUP002"/>
    <s v="China"/>
    <n v="352"/>
    <n v="79181.119999999995"/>
    <n v="27871754.239999998"/>
    <s v="Open"/>
    <d v="2025-04-10T00:00:00"/>
    <n v="36888722.030000001"/>
    <s v="Paid"/>
    <s v="Shanghai Solar Tech"/>
  </r>
  <r>
    <s v="PO0059"/>
    <d v="2025-04-30T00:00:00"/>
    <s v="Data Centers"/>
    <s v="Cooling Unit"/>
    <s v="SUP002"/>
    <s v="China"/>
    <n v="139"/>
    <n v="221294.04"/>
    <n v="30759871.559999999"/>
    <s v="Open"/>
    <d v="2025-02-12T00:00:00"/>
    <n v="17462452.489999998"/>
    <s v="Paid"/>
    <s v="Shanghai Solar Tech"/>
  </r>
  <r>
    <s v="PO0060"/>
    <d v="2025-06-20T00:00:00"/>
    <s v="Data Centers"/>
    <s v="Server Rack"/>
    <s v="SUP004"/>
    <s v="Japan"/>
    <n v="463"/>
    <n v="124378.89"/>
    <n v="57587426.07"/>
    <s v="Open"/>
    <d v="2025-05-19T00:00:00"/>
    <n v="8672086.5700000003"/>
    <s v="Paid"/>
    <s v="Hitachi"/>
  </r>
  <r>
    <s v="PO0061"/>
    <d v="2025-02-20T00:00:00"/>
    <s v="Mining"/>
    <s v="Conveyor Belt"/>
    <s v="SUP005"/>
    <s v="France"/>
    <n v="216"/>
    <n v="88083.46"/>
    <n v="19026027.359999999"/>
    <s v="Closed"/>
    <d v="2025-02-02T00:00:00"/>
    <n v="19248364.100000001"/>
    <s v="Paid"/>
    <s v="Schneider Electric"/>
  </r>
  <r>
    <s v="PO0062"/>
    <d v="2025-05-22T00:00:00"/>
    <s v="Airports"/>
    <s v="Security Scanner"/>
    <s v="SUP006"/>
    <s v="UAE"/>
    <n v="197"/>
    <n v="9773.32"/>
    <n v="1925344.04"/>
    <s v="Closed"/>
    <d v="2025-03-24T00:00:00"/>
    <n v="6419852.6900000004"/>
    <s v="Paid"/>
    <s v="DP World Industrial"/>
  </r>
  <r>
    <s v="PO0063"/>
    <d v="2025-03-17T00:00:00"/>
    <s v="Logistics"/>
    <s v="Truck Tyre"/>
    <s v="SUP004"/>
    <s v="Japan"/>
    <n v="179"/>
    <n v="131771.29"/>
    <n v="23587060.91"/>
    <s v="In Transit"/>
    <d v="2025-05-09T00:00:00"/>
    <n v="15794845.890000001"/>
    <s v="Overdue"/>
    <s v="Hitachi"/>
  </r>
  <r>
    <s v="PO0064"/>
    <d v="2025-03-09T00:00:00"/>
    <s v="Solar"/>
    <s v="Solar Module"/>
    <s v="SUP002"/>
    <s v="China"/>
    <n v="458"/>
    <n v="30671"/>
    <n v="14047318"/>
    <s v="Closed"/>
    <d v="2025-06-17T00:00:00"/>
    <n v="19455969.600000001"/>
    <s v="Overdue"/>
    <s v="Shanghai Solar Tech"/>
  </r>
  <r>
    <s v="PO0065"/>
    <d v="2025-04-19T00:00:00"/>
    <s v="Solar"/>
    <s v="Solar Module"/>
    <s v="SUP003"/>
    <s v="Australia"/>
    <n v="396"/>
    <n v="36741.11"/>
    <n v="14549479.560000001"/>
    <s v="In Transit"/>
    <d v="2025-06-13T00:00:00"/>
    <n v="34442006.630000003"/>
    <s v="Paid"/>
    <s v="BHP Supplies"/>
  </r>
  <r>
    <s v="PO0066"/>
    <d v="2025-05-27T00:00:00"/>
    <s v="Airports"/>
    <s v="HVAC"/>
    <s v="SUP002"/>
    <s v="China"/>
    <n v="284"/>
    <n v="230197.02"/>
    <n v="65375953.68"/>
    <s v="Closed"/>
    <d v="2025-06-18T00:00:00"/>
    <n v="39312696.030000001"/>
    <s v="Paid"/>
    <s v="Shanghai Solar Tech"/>
  </r>
  <r>
    <s v="PO0067"/>
    <d v="2025-06-26T00:00:00"/>
    <s v="Data Centers"/>
    <s v="Cooling Unit"/>
    <s v="SUP001"/>
    <s v="India"/>
    <n v="152"/>
    <n v="19094"/>
    <n v="2902288"/>
    <s v="Open"/>
    <d v="2025-06-13T00:00:00"/>
    <n v="20283779.16"/>
    <s v="Paid"/>
    <s v="Siemens India"/>
  </r>
  <r>
    <s v="PO0068"/>
    <d v="2025-01-23T00:00:00"/>
    <s v="Logistics"/>
    <s v="Truck Tyre"/>
    <s v="SUP003"/>
    <s v="Australia"/>
    <n v="490"/>
    <n v="9123.77"/>
    <n v="4470647.3"/>
    <s v="Closed"/>
    <d v="2025-05-07T00:00:00"/>
    <n v="9229980.6300000008"/>
    <s v="Paid"/>
    <s v="BHP Supplies"/>
  </r>
  <r>
    <s v="PO0069"/>
    <d v="2025-04-27T00:00:00"/>
    <s v="Solar"/>
    <s v="Solar Module"/>
    <s v="SUP001"/>
    <s v="India"/>
    <n v="145"/>
    <n v="216379.87"/>
    <n v="31375081.149999999"/>
    <s v="Open"/>
    <d v="2025-01-16T00:00:00"/>
    <n v="20047304.600000001"/>
    <s v="Overdue"/>
    <s v="Siemens India"/>
  </r>
  <r>
    <s v="PO0070"/>
    <d v="2025-05-15T00:00:00"/>
    <s v="Airports"/>
    <s v="HVAC"/>
    <s v="SUP003"/>
    <s v="Australia"/>
    <n v="328"/>
    <n v="36660.080000000002"/>
    <n v="12024506.24"/>
    <s v="In Transit"/>
    <d v="2025-02-15T00:00:00"/>
    <n v="19240461.039999999"/>
    <s v="Paid"/>
    <s v="BHP Supplies"/>
  </r>
  <r>
    <s v="PO0071"/>
    <d v="2025-02-21T00:00:00"/>
    <s v="Mining"/>
    <s v="Excavator Parts"/>
    <s v="SUP002"/>
    <s v="China"/>
    <n v="144"/>
    <n v="17343.03"/>
    <n v="2497396.3199999998"/>
    <s v="Closed"/>
    <d v="2025-02-13T00:00:00"/>
    <n v="12428239.01"/>
    <s v="Overdue"/>
    <s v="Shanghai Solar Tech"/>
  </r>
  <r>
    <s v="PO0072"/>
    <d v="2025-04-25T00:00:00"/>
    <s v="Data Centers"/>
    <s v="Cooling Unit"/>
    <s v="SUP005"/>
    <s v="France"/>
    <n v="398"/>
    <n v="55438.53"/>
    <n v="22064534.940000001"/>
    <s v="In Transit"/>
    <d v="2025-02-24T00:00:00"/>
    <n v="2150841.77"/>
    <s v="Overdue"/>
    <s v="Schneider Electric"/>
  </r>
  <r>
    <s v="PO0073"/>
    <d v="2025-03-06T00:00:00"/>
    <s v="Data Centers"/>
    <s v="Server Rack"/>
    <s v="SUP003"/>
    <s v="Australia"/>
    <n v="187"/>
    <n v="201901.34"/>
    <n v="37755550.579999998"/>
    <s v="Open"/>
    <d v="2025-07-18T00:00:00"/>
    <n v="33645446.909999996"/>
    <s v="Overdue"/>
    <s v="BHP Supplies"/>
  </r>
  <r>
    <s v="PO0074"/>
    <d v="2025-02-18T00:00:00"/>
    <s v="Solar"/>
    <s v="Solar Module"/>
    <s v="SUP006"/>
    <s v="UAE"/>
    <n v="268"/>
    <n v="140007.04000000001"/>
    <n v="37521886.719999999"/>
    <s v="In Transit"/>
    <d v="2025-03-29T00:00:00"/>
    <n v="5974777.6600000001"/>
    <s v="Overdue"/>
    <s v="DP World Industrial"/>
  </r>
  <r>
    <s v="PO0075"/>
    <d v="2025-06-16T00:00:00"/>
    <s v="Logistics"/>
    <s v="Truck Tyre"/>
    <s v="SUP004"/>
    <s v="Japan"/>
    <n v="64"/>
    <n v="166288.48000000001"/>
    <n v="10642462.720000001"/>
    <s v="Closed"/>
    <d v="2025-05-02T00:00:00"/>
    <n v="27547586.670000002"/>
    <s v="Overdue"/>
    <s v="Hitachi"/>
  </r>
  <r>
    <s v="PO0076"/>
    <d v="2025-05-10T00:00:00"/>
    <s v="Data Centers"/>
    <s v="Cooling Unit"/>
    <s v="SUP005"/>
    <s v="France"/>
    <n v="437"/>
    <n v="222737.86"/>
    <n v="97336444.819999993"/>
    <s v="Closed"/>
    <d v="2025-07-24T00:00:00"/>
    <n v="15380085.77"/>
    <s v="Pending"/>
    <s v="Schneider Electric"/>
  </r>
  <r>
    <s v="PO0077"/>
    <d v="2025-06-30T00:00:00"/>
    <s v="Data Centers"/>
    <s v="Server Rack"/>
    <s v="SUP002"/>
    <s v="China"/>
    <n v="185"/>
    <n v="53663"/>
    <n v="9927655"/>
    <s v="In Transit"/>
    <d v="2025-03-25T00:00:00"/>
    <n v="29172970.57"/>
    <s v="Pending"/>
    <s v="Shanghai Solar Tech"/>
  </r>
  <r>
    <s v="PO0078"/>
    <d v="2025-02-03T00:00:00"/>
    <s v="Data Centers"/>
    <s v="Server Rack"/>
    <s v="SUP004"/>
    <s v="Japan"/>
    <n v="187"/>
    <n v="245561.07"/>
    <n v="45919920.090000004"/>
    <s v="Open"/>
    <d v="2025-04-15T00:00:00"/>
    <n v="32976251.129999999"/>
    <s v="Pending"/>
    <s v="Hitachi"/>
  </r>
  <r>
    <s v="PO0079"/>
    <d v="2025-06-20T00:00:00"/>
    <s v="Solar"/>
    <s v="Inverter"/>
    <s v="SUP004"/>
    <s v="Japan"/>
    <n v="93"/>
    <n v="18573.27"/>
    <n v="1727314.11"/>
    <s v="Closed"/>
    <d v="2025-05-14T00:00:00"/>
    <n v="21973794.420000002"/>
    <s v="Paid"/>
    <s v="Hitachi"/>
  </r>
  <r>
    <s v="PO0080"/>
    <d v="2025-01-12T00:00:00"/>
    <s v="Energy"/>
    <s v="Transformer"/>
    <s v="SUP005"/>
    <s v="France"/>
    <n v="134"/>
    <n v="174707.95"/>
    <n v="23410865.300000001"/>
    <s v="Closed"/>
    <d v="2025-01-06T00:00:00"/>
    <n v="30982704.800000001"/>
    <s v="Pending"/>
    <s v="Schneider Electric"/>
  </r>
  <r>
    <s v="PO0081"/>
    <d v="2025-04-04T00:00:00"/>
    <s v="Mining"/>
    <s v="Excavator Parts"/>
    <s v="SUP003"/>
    <s v="Australia"/>
    <n v="238"/>
    <n v="5887.56"/>
    <n v="1401239.28"/>
    <s v="Closed"/>
    <d v="2025-05-05T00:00:00"/>
    <n v="11839021.08"/>
    <s v="Overdue"/>
    <s v="BHP Supplies"/>
  </r>
  <r>
    <s v="PO0082"/>
    <d v="2025-03-21T00:00:00"/>
    <s v="Energy"/>
    <s v="Transformer"/>
    <s v="SUP002"/>
    <s v="China"/>
    <n v="27"/>
    <n v="241588.36"/>
    <n v="6522885.7199999997"/>
    <s v="Open"/>
    <d v="2025-07-24T00:00:00"/>
    <n v="40966614.810000002"/>
    <s v="Paid"/>
    <s v="Shanghai Solar Tech"/>
  </r>
  <r>
    <s v="PO0083"/>
    <d v="2025-05-02T00:00:00"/>
    <s v="Airports"/>
    <s v="Security Scanner"/>
    <s v="SUP001"/>
    <s v="India"/>
    <n v="181"/>
    <n v="98498.52"/>
    <n v="17828232.120000001"/>
    <s v="Closed"/>
    <d v="2025-05-07T00:00:00"/>
    <n v="20077083.07"/>
    <s v="Paid"/>
    <s v="Siemens India"/>
  </r>
  <r>
    <s v="PO0084"/>
    <d v="2025-01-24T00:00:00"/>
    <s v="Energy"/>
    <s v="Turbine Part"/>
    <s v="SUP002"/>
    <s v="China"/>
    <n v="268"/>
    <n v="195178.33"/>
    <n v="52307792.439999998"/>
    <s v="Closed"/>
    <d v="2025-02-07T00:00:00"/>
    <n v="17992896.07"/>
    <s v="Pending"/>
    <s v="Shanghai Solar Tech"/>
  </r>
  <r>
    <s v="PO0085"/>
    <d v="2025-01-06T00:00:00"/>
    <s v="Solar"/>
    <s v="Solar Module"/>
    <s v="SUP004"/>
    <s v="Japan"/>
    <n v="310"/>
    <n v="15208.4"/>
    <n v="4714604"/>
    <s v="Closed"/>
    <d v="2025-01-29T00:00:00"/>
    <n v="40133871.869999997"/>
    <s v="Overdue"/>
    <s v="Hitachi"/>
  </r>
  <r>
    <s v="PO0086"/>
    <d v="2025-02-09T00:00:00"/>
    <s v="Airports"/>
    <s v="Security Scanner"/>
    <s v="SUP001"/>
    <s v="India"/>
    <n v="309"/>
    <n v="239621.11"/>
    <n v="74042922.989999995"/>
    <s v="In Transit"/>
    <d v="2025-05-16T00:00:00"/>
    <n v="32889079.190000001"/>
    <s v="Paid"/>
    <s v="Siemens India"/>
  </r>
  <r>
    <s v="PO0087"/>
    <d v="2025-02-08T00:00:00"/>
    <s v="Data Centers"/>
    <s v="Cooling Unit"/>
    <s v="SUP003"/>
    <s v="Australia"/>
    <n v="378"/>
    <n v="246258.63"/>
    <n v="93085762.140000001"/>
    <s v="Closed"/>
    <d v="2025-06-17T00:00:00"/>
    <n v="6600521.2000000002"/>
    <s v="Overdue"/>
    <s v="BHP Supplies"/>
  </r>
  <r>
    <s v="PO0088"/>
    <d v="2025-05-12T00:00:00"/>
    <s v="Data Centers"/>
    <s v="Server Rack"/>
    <s v="SUP001"/>
    <s v="India"/>
    <n v="432"/>
    <n v="209645.94"/>
    <n v="90567046.079999998"/>
    <s v="In Transit"/>
    <d v="2025-03-27T00:00:00"/>
    <n v="38904040.710000001"/>
    <s v="Overdue"/>
    <s v="Siemens India"/>
  </r>
  <r>
    <s v="PO0089"/>
    <d v="2025-01-05T00:00:00"/>
    <s v="Logistics"/>
    <s v="Truck Tyre"/>
    <s v="SUP005"/>
    <s v="France"/>
    <n v="395"/>
    <n v="128570.91"/>
    <n v="50785509.450000003"/>
    <s v="In Transit"/>
    <d v="2025-01-26T00:00:00"/>
    <n v="2807820.06"/>
    <s v="Overdue"/>
    <s v="Schneider Electric"/>
  </r>
  <r>
    <s v="PO0090"/>
    <d v="2025-06-13T00:00:00"/>
    <s v="Energy"/>
    <s v="Turbine Part"/>
    <s v="SUP001"/>
    <s v="India"/>
    <n v="25"/>
    <n v="15256.21"/>
    <n v="381405.25"/>
    <s v="Closed"/>
    <d v="2025-04-12T00:00:00"/>
    <n v="32672008.25"/>
    <s v="Paid"/>
    <s v="Siemens India"/>
  </r>
  <r>
    <s v="PO0091"/>
    <d v="2025-01-05T00:00:00"/>
    <s v="Solar"/>
    <s v="Inverter"/>
    <s v="SUP004"/>
    <s v="Japan"/>
    <n v="295"/>
    <n v="17441.18"/>
    <n v="5145148.0999999996"/>
    <s v="In Transit"/>
    <d v="2025-01-12T00:00:00"/>
    <n v="42867798.549999997"/>
    <s v="Overdue"/>
    <s v="Hitachi"/>
  </r>
  <r>
    <s v="PO0092"/>
    <d v="2025-01-18T00:00:00"/>
    <s v="Energy"/>
    <s v="Turbine Part"/>
    <s v="SUP004"/>
    <s v="Japan"/>
    <n v="145"/>
    <n v="5812.01"/>
    <n v="842741.45"/>
    <s v="In Transit"/>
    <d v="2025-07-12T00:00:00"/>
    <n v="34658222.43"/>
    <s v="Paid"/>
    <s v="Hitachi"/>
  </r>
  <r>
    <s v="PO0093"/>
    <d v="2025-05-02T00:00:00"/>
    <s v="Energy"/>
    <s v="Turbine Part"/>
    <s v="SUP006"/>
    <s v="UAE"/>
    <n v="279"/>
    <n v="21182.34"/>
    <n v="5909872.8600000003"/>
    <s v="Closed"/>
    <d v="2025-02-24T00:00:00"/>
    <n v="6667712.2000000002"/>
    <s v="Pending"/>
    <s v="DP World Industrial"/>
  </r>
  <r>
    <s v="PO0094"/>
    <d v="2025-03-01T00:00:00"/>
    <s v="Solar"/>
    <s v="Inverter"/>
    <s v="SUP002"/>
    <s v="China"/>
    <n v="383"/>
    <n v="190328.14"/>
    <n v="72895677.620000005"/>
    <s v="In Transit"/>
    <d v="2025-03-20T00:00:00"/>
    <n v="47836300.490000002"/>
    <s v="Paid"/>
    <s v="Shanghai Solar Tech"/>
  </r>
  <r>
    <s v="PO0095"/>
    <d v="2025-05-03T00:00:00"/>
    <s v="Data Centers"/>
    <s v="Cooling Unit"/>
    <s v="SUP004"/>
    <s v="Japan"/>
    <n v="442"/>
    <n v="98727.32"/>
    <n v="43637475.439999998"/>
    <s v="In Transit"/>
    <d v="2025-06-30T00:00:00"/>
    <n v="39440237.960000001"/>
    <s v="Paid"/>
    <s v="Hitachi"/>
  </r>
  <r>
    <s v="PO0096"/>
    <d v="2025-01-20T00:00:00"/>
    <s v="Airports"/>
    <s v="Security Scanner"/>
    <s v="SUP005"/>
    <s v="France"/>
    <n v="333"/>
    <n v="162476.93"/>
    <n v="54104817.689999998"/>
    <s v="In Transit"/>
    <d v="2025-01-22T00:00:00"/>
    <n v="41668500.520000003"/>
    <s v="Overdue"/>
    <s v="Schneider Electric"/>
  </r>
  <r>
    <s v="PO0097"/>
    <d v="2025-03-19T00:00:00"/>
    <s v="Mining"/>
    <s v="Conveyor Belt"/>
    <s v="SUP003"/>
    <s v="Australia"/>
    <n v="343"/>
    <n v="187088.23"/>
    <n v="64171262.890000001"/>
    <s v="In Transit"/>
    <d v="2025-07-18T00:00:00"/>
    <n v="12685816.220000001"/>
    <s v="Pending"/>
    <s v="BHP Supplies"/>
  </r>
  <r>
    <s v="PO0098"/>
    <d v="2025-03-10T00:00:00"/>
    <s v="Energy"/>
    <s v="Turbine Part"/>
    <s v="SUP001"/>
    <s v="India"/>
    <n v="256"/>
    <n v="19861.95"/>
    <n v="5084659.2"/>
    <s v="In Transit"/>
    <d v="2025-06-12T00:00:00"/>
    <n v="13822130.34"/>
    <s v="Pending"/>
    <s v="Siemens India"/>
  </r>
  <r>
    <s v="PO0099"/>
    <d v="2025-05-13T00:00:00"/>
    <s v="Solar"/>
    <s v="Solar Module"/>
    <s v="SUP006"/>
    <s v="UAE"/>
    <n v="260"/>
    <n v="76259.839999999997"/>
    <n v="19827558.399999999"/>
    <s v="Closed"/>
    <d v="2025-02-11T00:00:00"/>
    <n v="12782653.800000001"/>
    <s v="Pending"/>
    <s v="DP World Industrial"/>
  </r>
  <r>
    <s v="PO0100"/>
    <d v="2025-05-21T00:00:00"/>
    <s v="Logistics"/>
    <s v="Diesel Pump"/>
    <s v="SUP004"/>
    <s v="Japan"/>
    <n v="402"/>
    <n v="34033.199999999997"/>
    <n v="13681346.4"/>
    <s v="Open"/>
    <d v="2025-02-28T00:00:00"/>
    <n v="29635199.550000001"/>
    <s v="Overdue"/>
    <s v="Hitachi"/>
  </r>
  <r>
    <s v="PO0101"/>
    <d v="2025-01-20T00:00:00"/>
    <s v="Airports"/>
    <s v="Security Scanner"/>
    <s v="SUP004"/>
    <s v="Japan"/>
    <n v="18"/>
    <n v="75949.279999999999"/>
    <n v="1367087.04"/>
    <s v="In Transit"/>
    <d v="2025-05-15T00:00:00"/>
    <n v="11946218.99"/>
    <s v="Pending"/>
    <s v="Hitachi"/>
  </r>
  <r>
    <s v="PO0102"/>
    <d v="2025-02-23T00:00:00"/>
    <s v="Logistics"/>
    <s v="Diesel Pump"/>
    <s v="SUP004"/>
    <s v="Japan"/>
    <n v="117"/>
    <n v="229555.92"/>
    <n v="26858042.640000001"/>
    <s v="Open"/>
    <d v="2025-01-15T00:00:00"/>
    <n v="10027213.210000001"/>
    <s v="Pending"/>
    <s v="Hitachi"/>
  </r>
  <r>
    <s v="PO0103"/>
    <d v="2025-04-03T00:00:00"/>
    <s v="Energy"/>
    <s v="Turbine Part"/>
    <s v="SUP002"/>
    <s v="China"/>
    <n v="392"/>
    <n v="133396.1"/>
    <n v="52291271.200000003"/>
    <s v="Open"/>
    <d v="2025-02-16T00:00:00"/>
    <n v="31864931.789999999"/>
    <s v="Pending"/>
    <s v="Shanghai Solar Tech"/>
  </r>
  <r>
    <s v="PO0104"/>
    <d v="2025-05-08T00:00:00"/>
    <s v="Energy"/>
    <s v="Transformer"/>
    <s v="SUP001"/>
    <s v="India"/>
    <n v="370"/>
    <n v="94471.19"/>
    <n v="34954340.299999997"/>
    <s v="Closed"/>
    <d v="2025-06-28T00:00:00"/>
    <n v="16458434.119999999"/>
    <s v="Pending"/>
    <s v="Siemens India"/>
  </r>
  <r>
    <s v="PO0105"/>
    <d v="2025-06-24T00:00:00"/>
    <s v="Logistics"/>
    <s v="Truck Tyre"/>
    <s v="SUP002"/>
    <s v="China"/>
    <n v="11"/>
    <n v="237740.1"/>
    <n v="2615141.1"/>
    <s v="Closed"/>
    <d v="2025-02-18T00:00:00"/>
    <n v="39626995.490000002"/>
    <s v="Pending"/>
    <s v="Shanghai Solar Tech"/>
  </r>
  <r>
    <s v="PO0106"/>
    <d v="2025-04-07T00:00:00"/>
    <s v="Logistics"/>
    <s v="Diesel Pump"/>
    <s v="SUP006"/>
    <s v="UAE"/>
    <n v="82"/>
    <n v="106964.39"/>
    <n v="8771079.9800000004"/>
    <s v="Closed"/>
    <d v="2025-02-04T00:00:00"/>
    <n v="38436459.829999998"/>
    <s v="Paid"/>
    <s v="DP World Industrial"/>
  </r>
  <r>
    <s v="PO0107"/>
    <d v="2025-04-12T00:00:00"/>
    <s v="Solar"/>
    <s v="Inverter"/>
    <s v="SUP001"/>
    <s v="India"/>
    <n v="176"/>
    <n v="188929.84"/>
    <n v="33251651.84"/>
    <s v="Open"/>
    <d v="2025-06-17T00:00:00"/>
    <n v="42928619.539999999"/>
    <s v="Pending"/>
    <s v="Siemens India"/>
  </r>
  <r>
    <s v="PO0108"/>
    <d v="2025-01-17T00:00:00"/>
    <s v="Mining"/>
    <s v="Excavator Parts"/>
    <s v="SUP006"/>
    <s v="UAE"/>
    <n v="158"/>
    <n v="67036.990000000005"/>
    <n v="10591844.42"/>
    <s v="Closed"/>
    <d v="2025-05-28T00:00:00"/>
    <n v="26120480.41"/>
    <s v="Overdue"/>
    <s v="DP World Industrial"/>
  </r>
  <r>
    <s v="PO0109"/>
    <d v="2025-03-12T00:00:00"/>
    <s v="Logistics"/>
    <s v="Truck Tyre"/>
    <s v="SUP003"/>
    <s v="Australia"/>
    <n v="483"/>
    <n v="109872.92"/>
    <n v="53068620.359999999"/>
    <s v="Open"/>
    <d v="2025-02-01T00:00:00"/>
    <n v="12676376.560000001"/>
    <s v="Overdue"/>
    <s v="BHP Supplies"/>
  </r>
  <r>
    <s v="PO0110"/>
    <d v="2025-06-12T00:00:00"/>
    <s v="Airports"/>
    <s v="Security Scanner"/>
    <s v="SUP001"/>
    <s v="India"/>
    <n v="437"/>
    <n v="167184.65"/>
    <n v="73059692.049999997"/>
    <s v="Open"/>
    <d v="2025-06-16T00:00:00"/>
    <n v="42844309.359999999"/>
    <s v="Overdue"/>
    <s v="Siemens India"/>
  </r>
  <r>
    <s v="PO0111"/>
    <d v="2025-04-06T00:00:00"/>
    <s v="Mining"/>
    <s v="Conveyor Belt"/>
    <s v="SUP004"/>
    <s v="Japan"/>
    <n v="271"/>
    <n v="82322.34"/>
    <n v="22309354.140000001"/>
    <s v="Closed"/>
    <d v="2025-07-29T00:00:00"/>
    <n v="18636164.449999999"/>
    <s v="Pending"/>
    <s v="Hitachi"/>
  </r>
  <r>
    <s v="PO0112"/>
    <d v="2025-01-21T00:00:00"/>
    <s v="Solar"/>
    <s v="Inverter"/>
    <s v="SUP005"/>
    <s v="France"/>
    <n v="291"/>
    <n v="54841.77"/>
    <n v="15958955.07"/>
    <s v="Open"/>
    <d v="2025-04-10T00:00:00"/>
    <n v="28910289.539999999"/>
    <s v="Pending"/>
    <s v="Schneider Electric"/>
  </r>
  <r>
    <s v="PO0113"/>
    <d v="2025-06-14T00:00:00"/>
    <s v="Data Centers"/>
    <s v="Cooling Unit"/>
    <s v="SUP004"/>
    <s v="Japan"/>
    <n v="324"/>
    <n v="189403.66"/>
    <n v="61366785.840000004"/>
    <s v="Closed"/>
    <d v="2025-03-31T00:00:00"/>
    <n v="38255495.68"/>
    <s v="Pending"/>
    <s v="Hitachi"/>
  </r>
  <r>
    <s v="PO0114"/>
    <d v="2025-04-17T00:00:00"/>
    <s v="Logistics"/>
    <s v="Truck Tyre"/>
    <s v="SUP005"/>
    <s v="France"/>
    <n v="75"/>
    <n v="46836.89"/>
    <n v="3512766.75"/>
    <s v="Closed"/>
    <d v="2025-03-05T00:00:00"/>
    <n v="8920127.3300000001"/>
    <s v="Overdue"/>
    <s v="Schneider Electric"/>
  </r>
  <r>
    <s v="PO0115"/>
    <d v="2025-06-17T00:00:00"/>
    <s v="Airports"/>
    <s v="HVAC"/>
    <s v="SUP003"/>
    <s v="Australia"/>
    <n v="388"/>
    <n v="185992.59"/>
    <n v="72165124.920000002"/>
    <s v="Closed"/>
    <d v="2025-01-18T00:00:00"/>
    <n v="14889531.75"/>
    <s v="Overdue"/>
    <s v="BHP Supplies"/>
  </r>
  <r>
    <s v="PO0116"/>
    <d v="2025-04-11T00:00:00"/>
    <s v="Logistics"/>
    <s v="Truck Tyre"/>
    <s v="SUP003"/>
    <s v="Australia"/>
    <n v="257"/>
    <n v="141543.82"/>
    <n v="36376761.740000002"/>
    <s v="Open"/>
    <d v="2025-03-11T00:00:00"/>
    <n v="15572614.84"/>
    <s v="Overdue"/>
    <s v="BHP Supplies"/>
  </r>
  <r>
    <s v="PO0117"/>
    <d v="2025-05-08T00:00:00"/>
    <s v="Mining"/>
    <s v="Excavator Parts"/>
    <s v="SUP001"/>
    <s v="India"/>
    <n v="116"/>
    <n v="127648.17"/>
    <n v="14807187.720000001"/>
    <s v="In Transit"/>
    <d v="2025-06-24T00:00:00"/>
    <n v="44796576.710000001"/>
    <s v="Overdue"/>
    <s v="Siemens India"/>
  </r>
  <r>
    <s v="PO0118"/>
    <d v="2025-02-05T00:00:00"/>
    <s v="Mining"/>
    <s v="Conveyor Belt"/>
    <s v="SUP003"/>
    <s v="Australia"/>
    <n v="398"/>
    <n v="115240.31"/>
    <n v="45865643.380000003"/>
    <s v="In Transit"/>
    <d v="2025-01-06T00:00:00"/>
    <n v="37381277.25"/>
    <s v="Paid"/>
    <s v="BHP Supplies"/>
  </r>
  <r>
    <s v="PO0119"/>
    <d v="2025-01-24T00:00:00"/>
    <s v="Mining"/>
    <s v="Excavator Parts"/>
    <s v="SUP001"/>
    <s v="India"/>
    <n v="99"/>
    <n v="88779.03"/>
    <n v="8789123.9700000007"/>
    <s v="Closed"/>
    <d v="2025-02-13T00:00:00"/>
    <n v="14619483.789999999"/>
    <s v="Overdue"/>
    <s v="Siemens India"/>
  </r>
  <r>
    <s v="PO0120"/>
    <d v="2025-01-06T00:00:00"/>
    <s v="Mining"/>
    <s v="Conveyor Belt"/>
    <s v="SUP003"/>
    <s v="Australia"/>
    <n v="424"/>
    <n v="144556.35"/>
    <n v="61291892.399999999"/>
    <s v="In Transit"/>
    <d v="2025-04-26T00:00:00"/>
    <n v="20942579.57"/>
    <s v="Pending"/>
    <s v="BHP Supplies"/>
  </r>
  <r>
    <s v="PO0121"/>
    <d v="2025-04-07T00:00:00"/>
    <s v="Logistics"/>
    <s v="Diesel Pump"/>
    <s v="SUP004"/>
    <s v="Japan"/>
    <n v="391"/>
    <n v="133421.19"/>
    <n v="52167685.289999999"/>
    <s v="Closed"/>
    <d v="2025-01-18T00:00:00"/>
    <n v="6687962.3399999999"/>
    <s v="Paid"/>
    <s v="Hitachi"/>
  </r>
  <r>
    <s v="PO0122"/>
    <d v="2025-04-03T00:00:00"/>
    <s v="Airports"/>
    <s v="Security Scanner"/>
    <s v="SUP004"/>
    <s v="Japan"/>
    <n v="152"/>
    <n v="145698.79"/>
    <n v="22146216.079999998"/>
    <s v="Open"/>
    <d v="2025-06-11T00:00:00"/>
    <n v="32690110.449999999"/>
    <s v="Paid"/>
    <s v="Hitachi"/>
  </r>
  <r>
    <s v="PO0123"/>
    <d v="2025-04-09T00:00:00"/>
    <s v="Data Centers"/>
    <s v="Server Rack"/>
    <s v="SUP001"/>
    <s v="India"/>
    <n v="148"/>
    <n v="224713.58"/>
    <n v="33257609.84"/>
    <s v="Closed"/>
    <d v="2025-01-19T00:00:00"/>
    <n v="230513.12"/>
    <s v="Pending"/>
    <s v="Siemens India"/>
  </r>
  <r>
    <s v="PO0124"/>
    <d v="2025-01-06T00:00:00"/>
    <s v="Data Centers"/>
    <s v="Cooling Unit"/>
    <s v="SUP004"/>
    <s v="Japan"/>
    <n v="498"/>
    <n v="81443.92"/>
    <n v="40559072.159999996"/>
    <s v="Open"/>
    <d v="2025-03-24T00:00:00"/>
    <n v="5407496.3499999996"/>
    <s v="Pending"/>
    <s v="Hitachi"/>
  </r>
  <r>
    <s v="PO0125"/>
    <d v="2025-05-02T00:00:00"/>
    <s v="Solar"/>
    <s v="Inverter"/>
    <s v="SUP006"/>
    <s v="UAE"/>
    <n v="401"/>
    <n v="224445.65"/>
    <n v="90002705.650000006"/>
    <s v="In Transit"/>
    <d v="2025-05-22T00:00:00"/>
    <n v="11290522.220000001"/>
    <s v="Overdue"/>
    <s v="DP World Industrial"/>
  </r>
  <r>
    <s v="PO0126"/>
    <d v="2025-05-16T00:00:00"/>
    <s v="Logistics"/>
    <s v="Truck Tyre"/>
    <s v="SUP001"/>
    <s v="India"/>
    <n v="210"/>
    <n v="232908.43"/>
    <n v="48910770.299999997"/>
    <s v="Closed"/>
    <d v="2025-03-24T00:00:00"/>
    <n v="29495671.210000001"/>
    <s v="Paid"/>
    <s v="Siemens India"/>
  </r>
  <r>
    <s v="PO0127"/>
    <d v="2025-05-14T00:00:00"/>
    <s v="Logistics"/>
    <s v="Truck Tyre"/>
    <s v="SUP001"/>
    <s v="India"/>
    <n v="124"/>
    <n v="42822.7"/>
    <n v="5310014.8"/>
    <s v="In Transit"/>
    <d v="2025-04-09T00:00:00"/>
    <n v="31234084.989999998"/>
    <s v="Pending"/>
    <s v="Siemens India"/>
  </r>
  <r>
    <s v="PO0128"/>
    <d v="2025-01-01T00:00:00"/>
    <s v="Solar"/>
    <s v="Inverter"/>
    <s v="SUP001"/>
    <s v="India"/>
    <n v="292"/>
    <n v="195331.1"/>
    <n v="57036681.200000003"/>
    <s v="Open"/>
    <d v="2025-02-15T00:00:00"/>
    <n v="6823960"/>
    <s v="Paid"/>
    <s v="Siemens India"/>
  </r>
  <r>
    <s v="PO0129"/>
    <d v="2025-02-02T00:00:00"/>
    <s v="Mining"/>
    <s v="Excavator Parts"/>
    <s v="SUP006"/>
    <s v="UAE"/>
    <n v="376"/>
    <n v="79426.649999999994"/>
    <n v="29864420.399999999"/>
    <s v="In Transit"/>
    <d v="2025-07-06T00:00:00"/>
    <n v="7550722.7300000004"/>
    <s v="Paid"/>
    <s v="DP World Industrial"/>
  </r>
  <r>
    <s v="PO0130"/>
    <d v="2025-01-19T00:00:00"/>
    <s v="Airports"/>
    <s v="HVAC"/>
    <s v="SUP006"/>
    <s v="UAE"/>
    <n v="401"/>
    <n v="32472.51"/>
    <n v="13021476.51"/>
    <s v="Closed"/>
    <d v="2025-01-22T00:00:00"/>
    <n v="31946683.82"/>
    <s v="Overdue"/>
    <s v="DP World Industrial"/>
  </r>
  <r>
    <s v="PO0131"/>
    <d v="2025-06-03T00:00:00"/>
    <s v="Energy"/>
    <s v="Turbine Part"/>
    <s v="SUP004"/>
    <s v="Japan"/>
    <n v="143"/>
    <n v="59777.84"/>
    <n v="8548231.1199999992"/>
    <s v="Open"/>
    <d v="2025-07-25T00:00:00"/>
    <n v="13561031.1"/>
    <s v="Pending"/>
    <s v="Hitachi"/>
  </r>
  <r>
    <s v="PO0132"/>
    <d v="2025-06-15T00:00:00"/>
    <s v="Solar"/>
    <s v="Inverter"/>
    <s v="SUP004"/>
    <s v="Japan"/>
    <n v="152"/>
    <n v="239940.29"/>
    <n v="36470924.079999998"/>
    <s v="Open"/>
    <d v="2025-01-08T00:00:00"/>
    <n v="2900915.1"/>
    <s v="Overdue"/>
    <s v="Hitachi"/>
  </r>
  <r>
    <s v="PO0133"/>
    <d v="2025-04-16T00:00:00"/>
    <s v="Logistics"/>
    <s v="Truck Tyre"/>
    <s v="SUP005"/>
    <s v="France"/>
    <n v="136"/>
    <n v="12173.81"/>
    <n v="1655638.16"/>
    <s v="In Transit"/>
    <d v="2025-04-05T00:00:00"/>
    <n v="29776740.829999998"/>
    <s v="Overdue"/>
    <s v="Schneider Electric"/>
  </r>
  <r>
    <s v="PO0134"/>
    <d v="2025-06-22T00:00:00"/>
    <s v="Data Centers"/>
    <s v="Cooling Unit"/>
    <s v="SUP001"/>
    <s v="India"/>
    <n v="21"/>
    <n v="52558.23"/>
    <n v="1103722.83"/>
    <s v="In Transit"/>
    <d v="2025-04-29T00:00:00"/>
    <n v="30133885.170000002"/>
    <s v="Overdue"/>
    <s v="Siemens India"/>
  </r>
  <r>
    <s v="PO0135"/>
    <d v="2025-04-05T00:00:00"/>
    <s v="Logistics"/>
    <s v="Truck Tyre"/>
    <s v="SUP003"/>
    <s v="Australia"/>
    <n v="126"/>
    <n v="168501.99"/>
    <n v="21231250.739999998"/>
    <s v="Open"/>
    <d v="2025-07-12T00:00:00"/>
    <n v="24693297.91"/>
    <s v="Paid"/>
    <s v="BHP Supplies"/>
  </r>
  <r>
    <s v="PO0136"/>
    <d v="2025-04-03T00:00:00"/>
    <s v="Logistics"/>
    <s v="Truck Tyre"/>
    <s v="SUP006"/>
    <s v="UAE"/>
    <n v="183"/>
    <n v="180991.4"/>
    <n v="33121426.199999999"/>
    <s v="In Transit"/>
    <d v="2025-01-06T00:00:00"/>
    <n v="2295698.91"/>
    <s v="Overdue"/>
    <s v="DP World Industrial"/>
  </r>
  <r>
    <s v="PO0137"/>
    <d v="2025-05-10T00:00:00"/>
    <s v="Logistics"/>
    <s v="Truck Tyre"/>
    <s v="SUP001"/>
    <s v="India"/>
    <n v="418"/>
    <n v="76567.25"/>
    <n v="32005110.5"/>
    <s v="Open"/>
    <d v="2025-01-12T00:00:00"/>
    <n v="20358837.350000001"/>
    <s v="Paid"/>
    <s v="Siemens India"/>
  </r>
  <r>
    <s v="PO0138"/>
    <d v="2025-02-19T00:00:00"/>
    <s v="Mining"/>
    <s v="Conveyor Belt"/>
    <s v="SUP002"/>
    <s v="China"/>
    <n v="169"/>
    <n v="192634.99"/>
    <n v="32555313.309999999"/>
    <s v="Open"/>
    <d v="2025-02-15T00:00:00"/>
    <n v="3013121.09"/>
    <s v="Paid"/>
    <s v="Shanghai Solar Tech"/>
  </r>
  <r>
    <s v="PO0139"/>
    <d v="2025-01-28T00:00:00"/>
    <s v="Logistics"/>
    <s v="Truck Tyre"/>
    <s v="SUP003"/>
    <s v="Australia"/>
    <n v="399"/>
    <n v="222886.8"/>
    <n v="88931833.200000003"/>
    <s v="In Transit"/>
    <d v="2025-01-09T00:00:00"/>
    <n v="30670715.43"/>
    <s v="Overdue"/>
    <s v="BHP Supplies"/>
  </r>
  <r>
    <s v="PO0140"/>
    <d v="2025-06-20T00:00:00"/>
    <s v="Logistics"/>
    <s v="Truck Tyre"/>
    <s v="SUP002"/>
    <s v="China"/>
    <n v="258"/>
    <n v="107172.13"/>
    <n v="27650409.539999999"/>
    <s v="Open"/>
    <d v="2025-02-25T00:00:00"/>
    <n v="7199100.5899999999"/>
    <s v="Paid"/>
    <s v="Shanghai Solar Tech"/>
  </r>
  <r>
    <s v="PO0141"/>
    <d v="2025-06-02T00:00:00"/>
    <s v="Energy"/>
    <s v="Turbine Part"/>
    <s v="SUP004"/>
    <s v="Japan"/>
    <n v="37"/>
    <n v="57172.52"/>
    <n v="2115383.2400000002"/>
    <s v="Open"/>
    <d v="2025-05-18T00:00:00"/>
    <n v="30443340.190000001"/>
    <s v="Overdue"/>
    <s v="Hitachi"/>
  </r>
  <r>
    <s v="PO0142"/>
    <d v="2025-04-26T00:00:00"/>
    <s v="Logistics"/>
    <s v="Truck Tyre"/>
    <s v="SUP006"/>
    <s v="UAE"/>
    <n v="40"/>
    <n v="50105.68"/>
    <n v="2004227.2"/>
    <s v="In Transit"/>
    <d v="2025-06-20T00:00:00"/>
    <n v="32114341.390000001"/>
    <s v="Overdue"/>
    <s v="DP World Industrial"/>
  </r>
  <r>
    <s v="PO0143"/>
    <d v="2025-02-18T00:00:00"/>
    <s v="Airports"/>
    <s v="Security Scanner"/>
    <s v="SUP001"/>
    <s v="India"/>
    <n v="486"/>
    <n v="45580.27"/>
    <n v="22152011.219999999"/>
    <s v="Open"/>
    <d v="2025-02-19T00:00:00"/>
    <n v="25477943.170000002"/>
    <s v="Paid"/>
    <s v="Siemens India"/>
  </r>
  <r>
    <s v="PO0144"/>
    <d v="2025-04-07T00:00:00"/>
    <s v="Data Centers"/>
    <s v="Cooling Unit"/>
    <s v="SUP001"/>
    <s v="India"/>
    <n v="169"/>
    <n v="167785.32"/>
    <n v="28355719.079999998"/>
    <s v="Closed"/>
    <d v="2025-03-23T00:00:00"/>
    <n v="31335594.359999999"/>
    <s v="Overdue"/>
    <s v="Siemens India"/>
  </r>
  <r>
    <s v="PO0145"/>
    <d v="2025-03-13T00:00:00"/>
    <s v="Airports"/>
    <s v="HVAC"/>
    <s v="SUP002"/>
    <s v="China"/>
    <n v="65"/>
    <n v="5703.33"/>
    <n v="370716.45"/>
    <s v="Open"/>
    <d v="2025-07-25T00:00:00"/>
    <n v="23948470.91"/>
    <s v="Overdue"/>
    <s v="Shanghai Solar Tech"/>
  </r>
  <r>
    <s v="PO0146"/>
    <d v="2025-02-23T00:00:00"/>
    <s v="Airports"/>
    <s v="HVAC"/>
    <s v="SUP001"/>
    <s v="India"/>
    <n v="297"/>
    <n v="241246.45"/>
    <n v="71650195.650000006"/>
    <s v="Closed"/>
    <d v="2025-01-07T00:00:00"/>
    <n v="18820421.170000002"/>
    <s v="Pending"/>
    <s v="Siemens India"/>
  </r>
  <r>
    <s v="PO0147"/>
    <d v="2025-05-02T00:00:00"/>
    <s v="Airports"/>
    <s v="HVAC"/>
    <s v="SUP004"/>
    <s v="Japan"/>
    <n v="54"/>
    <n v="17068.05"/>
    <n v="921674.7"/>
    <s v="Open"/>
    <d v="2025-07-15T00:00:00"/>
    <n v="45621759.840000004"/>
    <s v="Paid"/>
    <s v="Hitachi"/>
  </r>
  <r>
    <s v="PO0148"/>
    <d v="2025-05-02T00:00:00"/>
    <s v="Airports"/>
    <s v="HVAC"/>
    <s v="SUP002"/>
    <s v="China"/>
    <n v="175"/>
    <n v="94240.97"/>
    <n v="16492169.75"/>
    <s v="Open"/>
    <d v="2025-07-14T00:00:00"/>
    <n v="32811009.91"/>
    <s v="Paid"/>
    <s v="Shanghai Solar Tech"/>
  </r>
  <r>
    <s v="PO0149"/>
    <d v="2025-04-14T00:00:00"/>
    <s v="Data Centers"/>
    <s v="Cooling Unit"/>
    <s v="SUP002"/>
    <s v="China"/>
    <n v="425"/>
    <n v="158225.03"/>
    <n v="67245637.75"/>
    <s v="Open"/>
    <d v="2025-03-04T00:00:00"/>
    <n v="49830862.869999997"/>
    <s v="Pending"/>
    <s v="Shanghai Solar Tech"/>
  </r>
  <r>
    <s v="PO0150"/>
    <d v="2025-01-16T00:00:00"/>
    <s v="Logistics"/>
    <s v="Truck Tyre"/>
    <s v="SUP004"/>
    <s v="Japan"/>
    <n v="42"/>
    <n v="201817.83"/>
    <n v="8476348.8599999994"/>
    <s v="Closed"/>
    <d v="2025-03-06T00:00:00"/>
    <n v="32236585.68"/>
    <s v="Paid"/>
    <s v="Hitachi"/>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s v="India"/>
    <s v="Mining"/>
    <d v="2024-01-01T00:00:00"/>
    <d v="2026-12-31T00:00:00"/>
    <n v="84"/>
    <n v="4.8499999999999996"/>
    <s v="45 Days"/>
  </r>
  <r>
    <x v="1"/>
    <x v="1"/>
    <s v="China"/>
    <s v="Airports"/>
    <d v="2024-01-01T00:00:00"/>
    <d v="2026-12-31T00:00:00"/>
    <n v="90"/>
    <n v="4"/>
    <s v="60 Days"/>
  </r>
  <r>
    <x v="2"/>
    <x v="2"/>
    <s v="Australia"/>
    <s v="Solar"/>
    <d v="2024-01-01T00:00:00"/>
    <d v="2026-12-31T00:00:00"/>
    <n v="90"/>
    <n v="4.62"/>
    <s v="60 Days"/>
  </r>
  <r>
    <x v="3"/>
    <x v="3"/>
    <s v="Japan"/>
    <s v="Airports"/>
    <d v="2024-01-01T00:00:00"/>
    <d v="2026-12-31T00:00:00"/>
    <n v="90"/>
    <n v="3.95"/>
    <s v="60 Days"/>
  </r>
  <r>
    <x v="4"/>
    <x v="4"/>
    <s v="France"/>
    <s v="Energy"/>
    <d v="2024-01-01T00:00:00"/>
    <d v="2026-12-31T00:00:00"/>
    <n v="84"/>
    <n v="3.54"/>
    <s v="30 Days"/>
  </r>
  <r>
    <x v="5"/>
    <x v="5"/>
    <s v="UAE"/>
    <s v="Solar"/>
    <d v="2024-01-01T00:00:00"/>
    <d v="2026-12-31T00:00:00"/>
    <n v="97"/>
    <n v="4.57"/>
    <s v="45 Day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BD1AEA-6BCB-4484-8ED4-7D3776FB442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agorywise Total Spend">
  <location ref="F27:F28" firstHeaderRow="1" firstDataRow="1" firstDataCol="0"/>
  <pivotFields count="18">
    <pivotField showAll="0"/>
    <pivotField showAll="0">
      <items count="102">
        <item x="88"/>
        <item x="19"/>
        <item x="67"/>
        <item x="64"/>
        <item x="31"/>
        <item x="60"/>
        <item x="12"/>
        <item x="78"/>
        <item x="69"/>
        <item x="89"/>
        <item x="72"/>
        <item x="8"/>
        <item x="35"/>
        <item x="56"/>
        <item x="28"/>
        <item x="95"/>
        <item x="22"/>
        <item x="4"/>
        <item x="24"/>
        <item x="20"/>
        <item x="59"/>
        <item x="16"/>
        <item x="25"/>
        <item x="43"/>
        <item x="65"/>
        <item x="5"/>
        <item x="30"/>
        <item x="49"/>
        <item x="45"/>
        <item x="76"/>
        <item x="39"/>
        <item x="3"/>
        <item x="33"/>
        <item x="70"/>
        <item x="44"/>
        <item x="57"/>
        <item x="52"/>
        <item x="74"/>
        <item x="79"/>
        <item x="98"/>
        <item x="15"/>
        <item x="51"/>
        <item x="73"/>
        <item x="62"/>
        <item x="11"/>
        <item x="32"/>
        <item x="41"/>
        <item x="27"/>
        <item x="61"/>
        <item x="94"/>
        <item x="80"/>
        <item x="23"/>
        <item x="85"/>
        <item x="84"/>
        <item x="77"/>
        <item x="99"/>
        <item x="92"/>
        <item x="82"/>
        <item x="53"/>
        <item x="1"/>
        <item x="13"/>
        <item x="97"/>
        <item x="7"/>
        <item x="14"/>
        <item x="36"/>
        <item x="63"/>
        <item x="71"/>
        <item x="10"/>
        <item x="6"/>
        <item x="46"/>
        <item x="66"/>
        <item x="75"/>
        <item x="87"/>
        <item x="42"/>
        <item x="86"/>
        <item x="29"/>
        <item x="0"/>
        <item x="37"/>
        <item x="50"/>
        <item x="2"/>
        <item x="54"/>
        <item x="40"/>
        <item x="96"/>
        <item x="90"/>
        <item x="9"/>
        <item x="34"/>
        <item x="21"/>
        <item x="68"/>
        <item x="81"/>
        <item x="91"/>
        <item x="38"/>
        <item x="83"/>
        <item x="18"/>
        <item x="48"/>
        <item x="47"/>
        <item x="93"/>
        <item x="17"/>
        <item x="55"/>
        <item x="26"/>
        <item x="58"/>
        <item x="100"/>
        <item t="default"/>
      </items>
    </pivotField>
    <pivotField showAll="0"/>
    <pivotField showAll="0">
      <items count="8">
        <item x="0"/>
        <item x="4"/>
        <item x="3"/>
        <item x="5"/>
        <item x="2"/>
        <item x="1"/>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ataField="1" dragToRow="0" dragToCol="0" dragToPage="0" showAll="0" defaultSubtotal="0"/>
  </pivotFields>
  <rowItems count="1">
    <i/>
  </rowItems>
  <colItems count="1">
    <i/>
  </colItems>
  <dataFields count="1">
    <dataField name="Sum of Average PO value" fld="17" baseField="0" baseItem="0" numFmtId="1"/>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CC9650-1453-43BA-A283-270F732D572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agorywise Total Spend">
  <location ref="B27:C35" firstHeaderRow="1" firstDataRow="1" firstDataCol="1"/>
  <pivotFields count="18">
    <pivotField showAll="0"/>
    <pivotField showAll="0">
      <items count="102">
        <item x="88"/>
        <item x="19"/>
        <item x="67"/>
        <item x="64"/>
        <item x="31"/>
        <item x="60"/>
        <item x="12"/>
        <item x="78"/>
        <item x="69"/>
        <item x="89"/>
        <item x="72"/>
        <item x="8"/>
        <item x="35"/>
        <item x="56"/>
        <item x="28"/>
        <item x="95"/>
        <item x="22"/>
        <item x="4"/>
        <item x="24"/>
        <item x="20"/>
        <item x="59"/>
        <item x="16"/>
        <item x="25"/>
        <item x="43"/>
        <item x="65"/>
        <item x="5"/>
        <item x="30"/>
        <item x="49"/>
        <item x="45"/>
        <item x="76"/>
        <item x="39"/>
        <item x="3"/>
        <item x="33"/>
        <item x="70"/>
        <item x="44"/>
        <item x="57"/>
        <item x="52"/>
        <item x="74"/>
        <item x="79"/>
        <item x="98"/>
        <item x="15"/>
        <item x="51"/>
        <item x="73"/>
        <item x="62"/>
        <item x="11"/>
        <item x="32"/>
        <item x="41"/>
        <item x="27"/>
        <item x="61"/>
        <item x="94"/>
        <item x="80"/>
        <item x="23"/>
        <item x="85"/>
        <item x="84"/>
        <item x="77"/>
        <item x="99"/>
        <item x="92"/>
        <item x="82"/>
        <item x="53"/>
        <item x="1"/>
        <item x="13"/>
        <item x="97"/>
        <item x="7"/>
        <item x="14"/>
        <item x="36"/>
        <item x="63"/>
        <item x="71"/>
        <item x="10"/>
        <item x="6"/>
        <item x="46"/>
        <item x="66"/>
        <item x="75"/>
        <item x="87"/>
        <item x="42"/>
        <item x="86"/>
        <item x="29"/>
        <item x="0"/>
        <item x="37"/>
        <item x="50"/>
        <item x="2"/>
        <item x="54"/>
        <item x="40"/>
        <item x="96"/>
        <item x="90"/>
        <item x="9"/>
        <item x="34"/>
        <item x="21"/>
        <item x="68"/>
        <item x="81"/>
        <item x="91"/>
        <item x="38"/>
        <item x="83"/>
        <item x="18"/>
        <item x="48"/>
        <item x="47"/>
        <item x="93"/>
        <item x="17"/>
        <item x="55"/>
        <item x="26"/>
        <item x="58"/>
        <item x="100"/>
        <item t="default"/>
      </items>
    </pivotField>
    <pivotField showAll="0"/>
    <pivotField axis="axisRow" showAll="0">
      <items count="8">
        <item x="0"/>
        <item x="4"/>
        <item x="3"/>
        <item x="5"/>
        <item x="2"/>
        <item x="1"/>
        <item x="6"/>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3"/>
  </rowFields>
  <rowItems count="8">
    <i>
      <x/>
    </i>
    <i>
      <x v="1"/>
    </i>
    <i>
      <x v="2"/>
    </i>
    <i>
      <x v="3"/>
    </i>
    <i>
      <x v="4"/>
    </i>
    <i>
      <x v="5"/>
    </i>
    <i>
      <x v="6"/>
    </i>
    <i t="grand">
      <x/>
    </i>
  </rowItems>
  <colItems count="1">
    <i/>
  </colItems>
  <dataFields count="1">
    <dataField name="Sum of Total spend"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5EA73D-61C4-4CC5-BFB3-6386F285DEB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tal Active Suppliers">
  <location ref="B15:C22" firstHeaderRow="1" firstDataRow="1" firstDataCol="1"/>
  <pivotFields count="18">
    <pivotField showAll="0"/>
    <pivotField showAll="0">
      <items count="102">
        <item x="88"/>
        <item x="19"/>
        <item x="67"/>
        <item x="64"/>
        <item x="31"/>
        <item x="60"/>
        <item x="12"/>
        <item x="78"/>
        <item x="69"/>
        <item x="89"/>
        <item x="72"/>
        <item x="8"/>
        <item x="35"/>
        <item x="56"/>
        <item x="28"/>
        <item x="95"/>
        <item x="22"/>
        <item x="4"/>
        <item x="24"/>
        <item x="20"/>
        <item x="59"/>
        <item x="16"/>
        <item x="25"/>
        <item x="43"/>
        <item x="65"/>
        <item x="5"/>
        <item x="30"/>
        <item x="49"/>
        <item x="45"/>
        <item x="76"/>
        <item x="39"/>
        <item x="3"/>
        <item x="33"/>
        <item x="70"/>
        <item x="44"/>
        <item x="57"/>
        <item x="52"/>
        <item x="74"/>
        <item x="79"/>
        <item x="98"/>
        <item x="15"/>
        <item x="51"/>
        <item x="73"/>
        <item x="62"/>
        <item x="11"/>
        <item x="32"/>
        <item x="41"/>
        <item x="27"/>
        <item x="61"/>
        <item x="94"/>
        <item x="80"/>
        <item x="23"/>
        <item x="85"/>
        <item x="84"/>
        <item x="77"/>
        <item x="99"/>
        <item x="92"/>
        <item x="82"/>
        <item x="53"/>
        <item x="1"/>
        <item x="13"/>
        <item x="97"/>
        <item x="7"/>
        <item x="14"/>
        <item x="36"/>
        <item x="63"/>
        <item x="71"/>
        <item x="10"/>
        <item x="6"/>
        <item x="46"/>
        <item x="66"/>
        <item x="75"/>
        <item x="87"/>
        <item x="42"/>
        <item x="86"/>
        <item x="29"/>
        <item x="0"/>
        <item x="37"/>
        <item x="50"/>
        <item x="2"/>
        <item x="54"/>
        <item x="40"/>
        <item x="96"/>
        <item x="90"/>
        <item x="9"/>
        <item x="34"/>
        <item x="21"/>
        <item x="68"/>
        <item x="81"/>
        <item x="91"/>
        <item x="38"/>
        <item x="83"/>
        <item x="18"/>
        <item x="48"/>
        <item x="47"/>
        <item x="93"/>
        <item x="17"/>
        <item x="55"/>
        <item x="26"/>
        <item x="58"/>
        <item x="100"/>
        <item t="default"/>
      </items>
    </pivotField>
    <pivotField showAll="0"/>
    <pivotField showAll="0"/>
    <pivotField showAll="0"/>
    <pivotField axis="axisRow" showAll="0">
      <items count="8">
        <item x="2"/>
        <item x="4"/>
        <item x="3"/>
        <item x="0"/>
        <item x="1"/>
        <item x="5"/>
        <item h="1" x="6"/>
        <item t="default"/>
      </items>
    </pivotField>
    <pivotField showAll="0"/>
    <pivotField showAll="0"/>
    <pivotField showAll="0"/>
    <pivotField dataField="1" showAll="0"/>
    <pivotField showAll="0"/>
    <pivotField showAll="0"/>
    <pivotField showAll="0"/>
    <pivotField showAll="0"/>
    <pivotField showAll="0">
      <items count="8">
        <item x="3"/>
        <item x="5"/>
        <item x="0"/>
        <item x="1"/>
        <item x="4"/>
        <item x="2"/>
        <item x="6"/>
        <item t="default"/>
      </items>
    </pivotField>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5"/>
  </rowFields>
  <rowItems count="7">
    <i>
      <x/>
    </i>
    <i>
      <x v="1"/>
    </i>
    <i>
      <x v="2"/>
    </i>
    <i>
      <x v="3"/>
    </i>
    <i>
      <x v="4"/>
    </i>
    <i>
      <x v="5"/>
    </i>
    <i t="grand">
      <x/>
    </i>
  </rowItems>
  <colItems count="1">
    <i/>
  </colItems>
  <dataFields count="1">
    <dataField name="Sum of Total spend" fld="9" baseField="0" baseItem="0" numFmtId="1"/>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A7798A-74DF-4F18-97E6-EEFB30EEF6F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B10" firstHeaderRow="1" firstDataRow="1" firstDataCol="0"/>
  <pivotFields count="18">
    <pivotField dataField="1" showAll="0"/>
    <pivotField showAll="0">
      <items count="102">
        <item x="88"/>
        <item x="19"/>
        <item x="67"/>
        <item x="64"/>
        <item x="31"/>
        <item x="60"/>
        <item x="12"/>
        <item x="78"/>
        <item x="69"/>
        <item x="89"/>
        <item x="72"/>
        <item x="8"/>
        <item x="35"/>
        <item x="56"/>
        <item x="28"/>
        <item x="95"/>
        <item x="22"/>
        <item x="4"/>
        <item x="24"/>
        <item x="20"/>
        <item x="59"/>
        <item x="16"/>
        <item x="25"/>
        <item x="43"/>
        <item x="65"/>
        <item x="5"/>
        <item x="30"/>
        <item x="49"/>
        <item x="45"/>
        <item x="76"/>
        <item x="39"/>
        <item x="3"/>
        <item x="33"/>
        <item x="70"/>
        <item x="44"/>
        <item x="57"/>
        <item x="52"/>
        <item x="74"/>
        <item x="79"/>
        <item x="98"/>
        <item x="15"/>
        <item x="51"/>
        <item x="73"/>
        <item x="62"/>
        <item x="11"/>
        <item x="32"/>
        <item x="41"/>
        <item x="27"/>
        <item x="61"/>
        <item x="94"/>
        <item x="80"/>
        <item x="23"/>
        <item x="85"/>
        <item x="84"/>
        <item x="77"/>
        <item x="99"/>
        <item x="92"/>
        <item x="82"/>
        <item x="53"/>
        <item x="1"/>
        <item x="13"/>
        <item x="97"/>
        <item x="7"/>
        <item x="14"/>
        <item x="36"/>
        <item x="63"/>
        <item x="71"/>
        <item x="10"/>
        <item x="6"/>
        <item x="46"/>
        <item x="66"/>
        <item x="75"/>
        <item x="87"/>
        <item x="42"/>
        <item x="86"/>
        <item x="29"/>
        <item x="0"/>
        <item x="37"/>
        <item x="50"/>
        <item x="2"/>
        <item x="54"/>
        <item x="40"/>
        <item x="96"/>
        <item x="90"/>
        <item x="9"/>
        <item x="34"/>
        <item x="21"/>
        <item x="68"/>
        <item x="81"/>
        <item x="91"/>
        <item x="38"/>
        <item x="83"/>
        <item x="18"/>
        <item x="48"/>
        <item x="47"/>
        <item x="93"/>
        <item x="17"/>
        <item x="55"/>
        <item x="26"/>
        <item x="58"/>
        <item x="10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Items count="1">
    <i/>
  </rowItems>
  <colItems count="1">
    <i/>
  </colItems>
  <dataFields count="1">
    <dataField name="Total Purchase Ord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805BDD-6D7E-425F-98FC-D6D4C98FA385}" name="PivotTable1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6">
    <pivotField showAll="0"/>
    <pivotField numFmtId="14" showAll="0"/>
    <pivotField showAll="0"/>
    <pivotField showAll="0"/>
    <pivotField showAll="0"/>
    <pivotField showAll="0"/>
    <pivotField showAll="0"/>
    <pivotField numFmtId="1" showAll="0"/>
    <pivotField dataField="1" numFmtId="1" showAll="0"/>
    <pivotField showAll="0"/>
    <pivotField numFmtId="14" showAll="0"/>
    <pivotField numFmtId="1" showAll="0"/>
    <pivotField showAll="0"/>
    <pivotField showAll="0"/>
    <pivotField dragToRow="0" dragToCol="0" dragToPage="0" showAll="0" defaultSubtotal="0"/>
    <pivotField dragToRow="0" dragToCol="0" dragToPage="0" showAll="0" defaultSubtotal="0"/>
  </pivotFields>
  <rowItems count="1">
    <i/>
  </rowItems>
  <colItems count="1">
    <i/>
  </colItems>
  <dataFields count="1">
    <dataField name="Sum of PO value " fld="8"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D7D71C-1E07-49C9-899E-54990A07219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9:I20" firstHeaderRow="1" firstDataRow="1" firstDataCol="0"/>
  <pivotFields count="18">
    <pivotField dataField="1" showAll="0"/>
    <pivotField showAll="0">
      <items count="102">
        <item x="88"/>
        <item x="19"/>
        <item x="67"/>
        <item x="64"/>
        <item x="31"/>
        <item x="60"/>
        <item x="12"/>
        <item x="78"/>
        <item x="69"/>
        <item x="89"/>
        <item x="72"/>
        <item x="8"/>
        <item x="35"/>
        <item x="56"/>
        <item x="28"/>
        <item x="95"/>
        <item x="22"/>
        <item x="4"/>
        <item x="24"/>
        <item x="20"/>
        <item x="59"/>
        <item x="16"/>
        <item x="25"/>
        <item x="43"/>
        <item x="65"/>
        <item x="5"/>
        <item x="30"/>
        <item x="49"/>
        <item x="45"/>
        <item x="76"/>
        <item x="39"/>
        <item x="3"/>
        <item x="33"/>
        <item x="70"/>
        <item x="44"/>
        <item x="57"/>
        <item x="52"/>
        <item x="74"/>
        <item x="79"/>
        <item x="98"/>
        <item x="15"/>
        <item x="51"/>
        <item x="73"/>
        <item x="62"/>
        <item x="11"/>
        <item x="32"/>
        <item x="41"/>
        <item x="27"/>
        <item x="61"/>
        <item x="94"/>
        <item x="80"/>
        <item x="23"/>
        <item x="85"/>
        <item x="84"/>
        <item x="77"/>
        <item x="99"/>
        <item x="92"/>
        <item x="82"/>
        <item x="53"/>
        <item x="1"/>
        <item x="13"/>
        <item x="97"/>
        <item x="7"/>
        <item x="14"/>
        <item x="36"/>
        <item x="63"/>
        <item x="71"/>
        <item x="10"/>
        <item x="6"/>
        <item x="46"/>
        <item x="66"/>
        <item x="75"/>
        <item x="87"/>
        <item x="42"/>
        <item x="86"/>
        <item x="29"/>
        <item x="0"/>
        <item x="37"/>
        <item x="50"/>
        <item x="2"/>
        <item x="54"/>
        <item x="40"/>
        <item x="96"/>
        <item x="90"/>
        <item x="9"/>
        <item x="34"/>
        <item x="21"/>
        <item x="68"/>
        <item x="81"/>
        <item x="91"/>
        <item x="38"/>
        <item x="83"/>
        <item x="18"/>
        <item x="48"/>
        <item x="47"/>
        <item x="93"/>
        <item x="17"/>
        <item x="55"/>
        <item x="26"/>
        <item x="58"/>
        <item x="10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Items count="1">
    <i/>
  </rowItems>
  <colItems count="1">
    <i/>
  </colItems>
  <dataFields count="1">
    <dataField name="Total Purchase Ord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ABFF8C-8EAC-4CBA-B5C9-7BFEFE6DA8E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6:B23" firstHeaderRow="1" firstDataRow="1" firstDataCol="1"/>
  <pivotFields count="14">
    <pivotField numFmtId="14" showAll="0"/>
    <pivotField showAll="0"/>
    <pivotField showAll="0"/>
    <pivotField showAll="0"/>
    <pivotField showAll="0"/>
    <pivotField axis="axisRow" showAll="0">
      <items count="7">
        <item x="3"/>
        <item x="4"/>
        <item x="1"/>
        <item x="2"/>
        <item x="0"/>
        <item x="5"/>
        <item t="default"/>
      </items>
    </pivotField>
    <pivotField showAll="0"/>
    <pivotField numFmtId="1" showAll="0"/>
    <pivotField dataField="1" numFmtId="1" showAll="0"/>
    <pivotField showAll="0"/>
    <pivotField numFmtId="14" showAll="0"/>
    <pivotField numFmtId="1" showAll="0"/>
    <pivotField showAll="0"/>
    <pivotField showAll="0"/>
  </pivotFields>
  <rowFields count="1">
    <field x="5"/>
  </rowFields>
  <rowItems count="7">
    <i>
      <x/>
    </i>
    <i>
      <x v="1"/>
    </i>
    <i>
      <x v="2"/>
    </i>
    <i>
      <x v="3"/>
    </i>
    <i>
      <x v="4"/>
    </i>
    <i>
      <x v="5"/>
    </i>
    <i t="grand">
      <x/>
    </i>
  </rowItems>
  <colItems count="1">
    <i/>
  </colItems>
  <dataFields count="1">
    <dataField name="Sum of Total spend" fld="8" baseField="0" baseItem="0" numFmtId="1"/>
  </dataFields>
  <chartFormats count="3">
    <chartFormat chart="1"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C42C3B0-8129-46A8-98F5-E124F0C5606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Buisness units">
  <location ref="A3:B10" firstHeaderRow="1" firstDataRow="1" firstDataCol="1"/>
  <pivotFields count="18">
    <pivotField showAll="0"/>
    <pivotField showAll="0">
      <items count="102">
        <item x="88"/>
        <item x="19"/>
        <item x="67"/>
        <item x="64"/>
        <item x="31"/>
        <item x="60"/>
        <item x="12"/>
        <item x="78"/>
        <item x="69"/>
        <item x="89"/>
        <item x="72"/>
        <item x="8"/>
        <item x="35"/>
        <item x="56"/>
        <item x="28"/>
        <item x="95"/>
        <item x="22"/>
        <item x="4"/>
        <item x="24"/>
        <item x="20"/>
        <item x="59"/>
        <item x="16"/>
        <item x="25"/>
        <item x="43"/>
        <item x="65"/>
        <item x="5"/>
        <item x="30"/>
        <item x="49"/>
        <item x="45"/>
        <item x="76"/>
        <item x="39"/>
        <item x="3"/>
        <item x="33"/>
        <item x="70"/>
        <item x="44"/>
        <item x="57"/>
        <item x="52"/>
        <item x="74"/>
        <item x="79"/>
        <item x="98"/>
        <item x="15"/>
        <item x="51"/>
        <item x="73"/>
        <item x="62"/>
        <item x="11"/>
        <item x="32"/>
        <item x="41"/>
        <item x="27"/>
        <item x="61"/>
        <item x="94"/>
        <item x="80"/>
        <item x="23"/>
        <item x="85"/>
        <item x="84"/>
        <item x="77"/>
        <item x="99"/>
        <item x="92"/>
        <item x="82"/>
        <item x="53"/>
        <item x="1"/>
        <item x="13"/>
        <item x="97"/>
        <item x="7"/>
        <item x="14"/>
        <item x="36"/>
        <item x="63"/>
        <item x="71"/>
        <item x="10"/>
        <item x="6"/>
        <item x="46"/>
        <item x="66"/>
        <item x="75"/>
        <item x="87"/>
        <item x="42"/>
        <item x="86"/>
        <item x="29"/>
        <item x="0"/>
        <item x="37"/>
        <item x="50"/>
        <item x="2"/>
        <item x="54"/>
        <item x="40"/>
        <item x="96"/>
        <item x="90"/>
        <item x="9"/>
        <item x="34"/>
        <item x="21"/>
        <item x="68"/>
        <item x="81"/>
        <item x="91"/>
        <item x="38"/>
        <item x="83"/>
        <item x="18"/>
        <item x="48"/>
        <item x="47"/>
        <item x="93"/>
        <item x="17"/>
        <item x="55"/>
        <item x="26"/>
        <item x="58"/>
        <item x="100"/>
        <item t="default"/>
      </items>
    </pivotField>
    <pivotField axis="axisRow" showAll="0">
      <items count="8">
        <item x="0"/>
        <item x="4"/>
        <item x="3"/>
        <item x="5"/>
        <item x="2"/>
        <item x="1"/>
        <item h="1" x="6"/>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2"/>
  </rowFields>
  <rowItems count="7">
    <i>
      <x/>
    </i>
    <i>
      <x v="1"/>
    </i>
    <i>
      <x v="2"/>
    </i>
    <i>
      <x v="3"/>
    </i>
    <i>
      <x v="4"/>
    </i>
    <i>
      <x v="5"/>
    </i>
    <i t="grand">
      <x/>
    </i>
  </rowItems>
  <colItems count="1">
    <i/>
  </colItems>
  <dataFields count="1">
    <dataField name="Sum of Total spend" fld="9" baseField="0" baseItem="0" numFmtId="1"/>
  </dataFields>
  <formats count="1">
    <format dxfId="16">
      <pivotArea outline="0" collapsedLevelsAreSubtotals="1" fieldPosition="0"/>
    </format>
  </formats>
  <chartFormats count="5">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2" count="1" selected="0">
            <x v="2"/>
          </reference>
        </references>
      </pivotArea>
    </chartFormat>
    <chartFormat chart="13" format="4">
      <pivotArea type="data" outline="0" fieldPosition="0">
        <references count="2">
          <reference field="4294967294" count="1" selected="0">
            <x v="0"/>
          </reference>
          <reference field="2" count="1" selected="0">
            <x v="4"/>
          </reference>
        </references>
      </pivotArea>
    </chartFormat>
    <chartFormat chart="13" format="5">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8789051-9B5B-4B99-B34B-86927C14B78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3:F11" firstHeaderRow="1" firstDataRow="2" firstDataCol="1"/>
  <pivotFields count="18">
    <pivotField showAll="0"/>
    <pivotField showAll="0">
      <items count="102">
        <item x="88"/>
        <item x="19"/>
        <item x="67"/>
        <item x="64"/>
        <item x="31"/>
        <item x="60"/>
        <item x="12"/>
        <item x="78"/>
        <item x="69"/>
        <item x="89"/>
        <item x="72"/>
        <item x="8"/>
        <item x="35"/>
        <item x="56"/>
        <item x="28"/>
        <item x="95"/>
        <item x="22"/>
        <item x="4"/>
        <item x="24"/>
        <item x="20"/>
        <item x="59"/>
        <item x="16"/>
        <item x="25"/>
        <item x="43"/>
        <item x="65"/>
        <item x="5"/>
        <item x="30"/>
        <item x="49"/>
        <item x="45"/>
        <item x="76"/>
        <item x="39"/>
        <item x="3"/>
        <item x="33"/>
        <item x="70"/>
        <item x="44"/>
        <item x="57"/>
        <item x="52"/>
        <item x="74"/>
        <item x="79"/>
        <item x="98"/>
        <item x="15"/>
        <item x="51"/>
        <item x="73"/>
        <item x="62"/>
        <item x="11"/>
        <item x="32"/>
        <item x="41"/>
        <item x="27"/>
        <item x="61"/>
        <item x="94"/>
        <item x="80"/>
        <item x="23"/>
        <item x="85"/>
        <item x="84"/>
        <item x="77"/>
        <item x="99"/>
        <item x="92"/>
        <item x="82"/>
        <item x="53"/>
        <item x="1"/>
        <item x="13"/>
        <item x="97"/>
        <item x="7"/>
        <item x="14"/>
        <item x="36"/>
        <item x="63"/>
        <item x="71"/>
        <item x="10"/>
        <item x="6"/>
        <item x="46"/>
        <item x="66"/>
        <item x="75"/>
        <item x="87"/>
        <item x="42"/>
        <item x="86"/>
        <item x="29"/>
        <item x="0"/>
        <item x="37"/>
        <item x="50"/>
        <item x="2"/>
        <item x="54"/>
        <item x="40"/>
        <item x="96"/>
        <item x="90"/>
        <item x="9"/>
        <item x="34"/>
        <item x="21"/>
        <item x="68"/>
        <item x="81"/>
        <item x="91"/>
        <item x="38"/>
        <item x="83"/>
        <item x="18"/>
        <item x="48"/>
        <item x="47"/>
        <item x="93"/>
        <item x="17"/>
        <item x="55"/>
        <item x="26"/>
        <item x="58"/>
        <item x="100"/>
        <item t="default"/>
      </items>
    </pivotField>
    <pivotField showAll="0"/>
    <pivotField axis="axisCol" showAll="0">
      <items count="8">
        <item h="1" x="0"/>
        <item x="4"/>
        <item x="3"/>
        <item x="5"/>
        <item x="2"/>
        <item h="1" x="1"/>
        <item h="1" x="6"/>
        <item t="default"/>
      </items>
    </pivotField>
    <pivotField showAll="0"/>
    <pivotField showAll="0"/>
    <pivotField showAll="0"/>
    <pivotField showAll="0"/>
    <pivotField showAll="0"/>
    <pivotField dataField="1" showAll="0"/>
    <pivotField showAll="0"/>
    <pivotField showAll="0"/>
    <pivotField showAll="0"/>
    <pivotField showAll="0"/>
    <pivotField axis="axisRow" showAll="0">
      <items count="8">
        <item x="3"/>
        <item x="5"/>
        <item x="0"/>
        <item x="1"/>
        <item x="4"/>
        <item x="2"/>
        <item h="1"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14"/>
  </rowFields>
  <rowItems count="7">
    <i>
      <x/>
    </i>
    <i>
      <x v="1"/>
    </i>
    <i>
      <x v="2"/>
    </i>
    <i>
      <x v="3"/>
    </i>
    <i>
      <x v="4"/>
    </i>
    <i>
      <x v="5"/>
    </i>
    <i t="grand">
      <x/>
    </i>
  </rowItems>
  <colFields count="1">
    <field x="3"/>
  </colFields>
  <colItems count="5">
    <i>
      <x v="1"/>
    </i>
    <i>
      <x v="2"/>
    </i>
    <i>
      <x v="3"/>
    </i>
    <i>
      <x v="4"/>
    </i>
    <i t="grand">
      <x/>
    </i>
  </colItems>
  <dataFields count="1">
    <dataField name="Sum of Total spend" fld="9" showDataAs="percentOfTotal" baseField="0" baseItem="0" numFmtId="10"/>
  </dataFields>
  <formats count="2">
    <format dxfId="15">
      <pivotArea outline="0" collapsedLevelsAreSubtotals="1" fieldPosition="0"/>
    </format>
    <format dxfId="14">
      <pivotArea outline="0" fieldPosition="0">
        <references count="1">
          <reference field="4294967294" count="1">
            <x v="0"/>
          </reference>
        </references>
      </pivotArea>
    </format>
  </formats>
  <chartFormats count="76">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3"/>
          </reference>
        </references>
      </pivotArea>
    </chartFormat>
    <chartFormat chart="1" format="4" series="1">
      <pivotArea type="data" outline="0" fieldPosition="0">
        <references count="2">
          <reference field="4294967294" count="1" selected="0">
            <x v="0"/>
          </reference>
          <reference field="3" count="1" selected="0">
            <x v="4"/>
          </reference>
        </references>
      </pivotArea>
    </chartFormat>
    <chartFormat chart="1" format="5" series="1">
      <pivotArea type="data" outline="0" fieldPosition="0">
        <references count="2">
          <reference field="4294967294" count="1" selected="0">
            <x v="0"/>
          </reference>
          <reference field="3" count="1" selected="0">
            <x v="5"/>
          </reference>
        </references>
      </pivotArea>
    </chartFormat>
    <chartFormat chart="1" format="6" series="1">
      <pivotArea type="data" outline="0" fieldPosition="0">
        <references count="2">
          <reference field="4294967294" count="1" selected="0">
            <x v="0"/>
          </reference>
          <reference field="3" count="1" selected="0">
            <x v="6"/>
          </reference>
        </references>
      </pivotArea>
    </chartFormat>
    <chartFormat chart="34" format="14" series="1">
      <pivotArea type="data" outline="0" fieldPosition="0">
        <references count="2">
          <reference field="4294967294" count="1" selected="0">
            <x v="0"/>
          </reference>
          <reference field="3" count="1" selected="0">
            <x v="5"/>
          </reference>
        </references>
      </pivotArea>
    </chartFormat>
    <chartFormat chart="34" format="15">
      <pivotArea type="data" outline="0" fieldPosition="0">
        <references count="3">
          <reference field="4294967294" count="1" selected="0">
            <x v="0"/>
          </reference>
          <reference field="3" count="1" selected="0">
            <x v="5"/>
          </reference>
          <reference field="14" count="1" selected="0">
            <x v="0"/>
          </reference>
        </references>
      </pivotArea>
    </chartFormat>
    <chartFormat chart="34" format="16">
      <pivotArea type="data" outline="0" fieldPosition="0">
        <references count="3">
          <reference field="4294967294" count="1" selected="0">
            <x v="0"/>
          </reference>
          <reference field="3" count="1" selected="0">
            <x v="5"/>
          </reference>
          <reference field="14" count="1" selected="0">
            <x v="1"/>
          </reference>
        </references>
      </pivotArea>
    </chartFormat>
    <chartFormat chart="34" format="17">
      <pivotArea type="data" outline="0" fieldPosition="0">
        <references count="3">
          <reference field="4294967294" count="1" selected="0">
            <x v="0"/>
          </reference>
          <reference field="3" count="1" selected="0">
            <x v="5"/>
          </reference>
          <reference field="14" count="1" selected="0">
            <x v="2"/>
          </reference>
        </references>
      </pivotArea>
    </chartFormat>
    <chartFormat chart="34" format="18">
      <pivotArea type="data" outline="0" fieldPosition="0">
        <references count="3">
          <reference field="4294967294" count="1" selected="0">
            <x v="0"/>
          </reference>
          <reference field="3" count="1" selected="0">
            <x v="5"/>
          </reference>
          <reference field="14" count="1" selected="0">
            <x v="3"/>
          </reference>
        </references>
      </pivotArea>
    </chartFormat>
    <chartFormat chart="34" format="19">
      <pivotArea type="data" outline="0" fieldPosition="0">
        <references count="3">
          <reference field="4294967294" count="1" selected="0">
            <x v="0"/>
          </reference>
          <reference field="3" count="1" selected="0">
            <x v="5"/>
          </reference>
          <reference field="14" count="1" selected="0">
            <x v="4"/>
          </reference>
        </references>
      </pivotArea>
    </chartFormat>
    <chartFormat chart="34" format="20">
      <pivotArea type="data" outline="0" fieldPosition="0">
        <references count="3">
          <reference field="4294967294" count="1" selected="0">
            <x v="0"/>
          </reference>
          <reference field="3" count="1" selected="0">
            <x v="5"/>
          </reference>
          <reference field="14" count="1" selected="0">
            <x v="5"/>
          </reference>
        </references>
      </pivotArea>
    </chartFormat>
    <chartFormat chart="34" format="21" series="1">
      <pivotArea type="data" outline="0" fieldPosition="0">
        <references count="2">
          <reference field="4294967294" count="1" selected="0">
            <x v="0"/>
          </reference>
          <reference field="3" count="1" selected="0">
            <x v="2"/>
          </reference>
        </references>
      </pivotArea>
    </chartFormat>
    <chartFormat chart="34" format="22" series="1">
      <pivotArea type="data" outline="0" fieldPosition="0">
        <references count="2">
          <reference field="4294967294" count="1" selected="0">
            <x v="0"/>
          </reference>
          <reference field="3" count="1" selected="0">
            <x v="1"/>
          </reference>
        </references>
      </pivotArea>
    </chartFormat>
    <chartFormat chart="34" format="23" series="1">
      <pivotArea type="data" outline="0" fieldPosition="0">
        <references count="2">
          <reference field="4294967294" count="1" selected="0">
            <x v="0"/>
          </reference>
          <reference field="3" count="1" selected="0">
            <x v="0"/>
          </reference>
        </references>
      </pivotArea>
    </chartFormat>
    <chartFormat chart="34" format="24" series="1">
      <pivotArea type="data" outline="0" fieldPosition="0">
        <references count="2">
          <reference field="4294967294" count="1" selected="0">
            <x v="0"/>
          </reference>
          <reference field="3" count="1" selected="0">
            <x v="3"/>
          </reference>
        </references>
      </pivotArea>
    </chartFormat>
    <chartFormat chart="34" format="25" series="1">
      <pivotArea type="data" outline="0" fieldPosition="0">
        <references count="2">
          <reference field="4294967294" count="1" selected="0">
            <x v="0"/>
          </reference>
          <reference field="3" count="1" selected="0">
            <x v="4"/>
          </reference>
        </references>
      </pivotArea>
    </chartFormat>
    <chartFormat chart="34" format="26" series="1">
      <pivotArea type="data" outline="0" fieldPosition="0">
        <references count="2">
          <reference field="4294967294" count="1" selected="0">
            <x v="0"/>
          </reference>
          <reference field="3" count="1" selected="0">
            <x v="6"/>
          </reference>
        </references>
      </pivotArea>
    </chartFormat>
    <chartFormat chart="34" format="27">
      <pivotArea type="data" outline="0" fieldPosition="0">
        <references count="3">
          <reference field="4294967294" count="1" selected="0">
            <x v="0"/>
          </reference>
          <reference field="3" count="1" selected="0">
            <x v="0"/>
          </reference>
          <reference field="14" count="1" selected="0">
            <x v="0"/>
          </reference>
        </references>
      </pivotArea>
    </chartFormat>
    <chartFormat chart="34" format="28">
      <pivotArea type="data" outline="0" fieldPosition="0">
        <references count="3">
          <reference field="4294967294" count="1" selected="0">
            <x v="0"/>
          </reference>
          <reference field="3" count="1" selected="0">
            <x v="0"/>
          </reference>
          <reference field="14" count="1" selected="0">
            <x v="1"/>
          </reference>
        </references>
      </pivotArea>
    </chartFormat>
    <chartFormat chart="34" format="29">
      <pivotArea type="data" outline="0" fieldPosition="0">
        <references count="3">
          <reference field="4294967294" count="1" selected="0">
            <x v="0"/>
          </reference>
          <reference field="3" count="1" selected="0">
            <x v="0"/>
          </reference>
          <reference field="14" count="1" selected="0">
            <x v="2"/>
          </reference>
        </references>
      </pivotArea>
    </chartFormat>
    <chartFormat chart="34" format="30">
      <pivotArea type="data" outline="0" fieldPosition="0">
        <references count="3">
          <reference field="4294967294" count="1" selected="0">
            <x v="0"/>
          </reference>
          <reference field="3" count="1" selected="0">
            <x v="0"/>
          </reference>
          <reference field="14" count="1" selected="0">
            <x v="3"/>
          </reference>
        </references>
      </pivotArea>
    </chartFormat>
    <chartFormat chart="34" format="31">
      <pivotArea type="data" outline="0" fieldPosition="0">
        <references count="3">
          <reference field="4294967294" count="1" selected="0">
            <x v="0"/>
          </reference>
          <reference field="3" count="1" selected="0">
            <x v="0"/>
          </reference>
          <reference field="14" count="1" selected="0">
            <x v="4"/>
          </reference>
        </references>
      </pivotArea>
    </chartFormat>
    <chartFormat chart="34" format="32">
      <pivotArea type="data" outline="0" fieldPosition="0">
        <references count="3">
          <reference field="4294967294" count="1" selected="0">
            <x v="0"/>
          </reference>
          <reference field="3" count="1" selected="0">
            <x v="0"/>
          </reference>
          <reference field="14" count="1" selected="0">
            <x v="5"/>
          </reference>
        </references>
      </pivotArea>
    </chartFormat>
    <chartFormat chart="1" format="7">
      <pivotArea type="data" outline="0" fieldPosition="0">
        <references count="3">
          <reference field="4294967294" count="1" selected="0">
            <x v="0"/>
          </reference>
          <reference field="3" count="1" selected="0">
            <x v="1"/>
          </reference>
          <reference field="14" count="1" selected="0">
            <x v="0"/>
          </reference>
        </references>
      </pivotArea>
    </chartFormat>
    <chartFormat chart="1" format="8">
      <pivotArea type="data" outline="0" fieldPosition="0">
        <references count="3">
          <reference field="4294967294" count="1" selected="0">
            <x v="0"/>
          </reference>
          <reference field="3" count="1" selected="0">
            <x v="1"/>
          </reference>
          <reference field="14" count="1" selected="0">
            <x v="1"/>
          </reference>
        </references>
      </pivotArea>
    </chartFormat>
    <chartFormat chart="1" format="9">
      <pivotArea type="data" outline="0" fieldPosition="0">
        <references count="3">
          <reference field="4294967294" count="1" selected="0">
            <x v="0"/>
          </reference>
          <reference field="3" count="1" selected="0">
            <x v="1"/>
          </reference>
          <reference field="14" count="1" selected="0">
            <x v="2"/>
          </reference>
        </references>
      </pivotArea>
    </chartFormat>
    <chartFormat chart="1" format="10">
      <pivotArea type="data" outline="0" fieldPosition="0">
        <references count="3">
          <reference field="4294967294" count="1" selected="0">
            <x v="0"/>
          </reference>
          <reference field="3" count="1" selected="0">
            <x v="1"/>
          </reference>
          <reference field="14" count="1" selected="0">
            <x v="3"/>
          </reference>
        </references>
      </pivotArea>
    </chartFormat>
    <chartFormat chart="1" format="11">
      <pivotArea type="data" outline="0" fieldPosition="0">
        <references count="3">
          <reference field="4294967294" count="1" selected="0">
            <x v="0"/>
          </reference>
          <reference field="3" count="1" selected="0">
            <x v="1"/>
          </reference>
          <reference field="14" count="1" selected="0">
            <x v="4"/>
          </reference>
        </references>
      </pivotArea>
    </chartFormat>
    <chartFormat chart="1" format="12">
      <pivotArea type="data" outline="0" fieldPosition="0">
        <references count="3">
          <reference field="4294967294" count="1" selected="0">
            <x v="0"/>
          </reference>
          <reference field="3" count="1" selected="0">
            <x v="1"/>
          </reference>
          <reference field="14" count="1" selected="0">
            <x v="5"/>
          </reference>
        </references>
      </pivotArea>
    </chartFormat>
    <chartFormat chart="1" format="13" series="1">
      <pivotArea type="data" outline="0" fieldPosition="0">
        <references count="1">
          <reference field="4294967294" count="1" selected="0">
            <x v="0"/>
          </reference>
        </references>
      </pivotArea>
    </chartFormat>
    <chartFormat chart="34" format="33" series="1">
      <pivotArea type="data" outline="0" fieldPosition="0">
        <references count="1">
          <reference field="4294967294" count="1" selected="0">
            <x v="0"/>
          </reference>
        </references>
      </pivotArea>
    </chartFormat>
    <chartFormat chart="34" format="34">
      <pivotArea type="data" outline="0" fieldPosition="0">
        <references count="3">
          <reference field="4294967294" count="1" selected="0">
            <x v="0"/>
          </reference>
          <reference field="3" count="1" selected="0">
            <x v="2"/>
          </reference>
          <reference field="14" count="1" selected="0">
            <x v="0"/>
          </reference>
        </references>
      </pivotArea>
    </chartFormat>
    <chartFormat chart="34" format="35">
      <pivotArea type="data" outline="0" fieldPosition="0">
        <references count="3">
          <reference field="4294967294" count="1" selected="0">
            <x v="0"/>
          </reference>
          <reference field="3" count="1" selected="0">
            <x v="2"/>
          </reference>
          <reference field="14" count="1" selected="0">
            <x v="1"/>
          </reference>
        </references>
      </pivotArea>
    </chartFormat>
    <chartFormat chart="34" format="36">
      <pivotArea type="data" outline="0" fieldPosition="0">
        <references count="3">
          <reference field="4294967294" count="1" selected="0">
            <x v="0"/>
          </reference>
          <reference field="3" count="1" selected="0">
            <x v="2"/>
          </reference>
          <reference field="14" count="1" selected="0">
            <x v="2"/>
          </reference>
        </references>
      </pivotArea>
    </chartFormat>
    <chartFormat chart="34" format="37">
      <pivotArea type="data" outline="0" fieldPosition="0">
        <references count="3">
          <reference field="4294967294" count="1" selected="0">
            <x v="0"/>
          </reference>
          <reference field="3" count="1" selected="0">
            <x v="2"/>
          </reference>
          <reference field="14" count="1" selected="0">
            <x v="3"/>
          </reference>
        </references>
      </pivotArea>
    </chartFormat>
    <chartFormat chart="34" format="38">
      <pivotArea type="data" outline="0" fieldPosition="0">
        <references count="3">
          <reference field="4294967294" count="1" selected="0">
            <x v="0"/>
          </reference>
          <reference field="3" count="1" selected="0">
            <x v="2"/>
          </reference>
          <reference field="14" count="1" selected="0">
            <x v="4"/>
          </reference>
        </references>
      </pivotArea>
    </chartFormat>
    <chartFormat chart="34" format="39">
      <pivotArea type="data" outline="0" fieldPosition="0">
        <references count="3">
          <reference field="4294967294" count="1" selected="0">
            <x v="0"/>
          </reference>
          <reference field="3" count="1" selected="0">
            <x v="2"/>
          </reference>
          <reference field="14" count="1" selected="0">
            <x v="5"/>
          </reference>
        </references>
      </pivotArea>
    </chartFormat>
    <chartFormat chart="1" format="14">
      <pivotArea type="data" outline="0" fieldPosition="0">
        <references count="3">
          <reference field="4294967294" count="1" selected="0">
            <x v="0"/>
          </reference>
          <reference field="3" count="1" selected="0">
            <x v="2"/>
          </reference>
          <reference field="14" count="1" selected="0">
            <x v="0"/>
          </reference>
        </references>
      </pivotArea>
    </chartFormat>
    <chartFormat chart="1" format="15">
      <pivotArea type="data" outline="0" fieldPosition="0">
        <references count="3">
          <reference field="4294967294" count="1" selected="0">
            <x v="0"/>
          </reference>
          <reference field="3" count="1" selected="0">
            <x v="2"/>
          </reference>
          <reference field="14" count="1" selected="0">
            <x v="1"/>
          </reference>
        </references>
      </pivotArea>
    </chartFormat>
    <chartFormat chart="1" format="16">
      <pivotArea type="data" outline="0" fieldPosition="0">
        <references count="3">
          <reference field="4294967294" count="1" selected="0">
            <x v="0"/>
          </reference>
          <reference field="3" count="1" selected="0">
            <x v="2"/>
          </reference>
          <reference field="14" count="1" selected="0">
            <x v="2"/>
          </reference>
        </references>
      </pivotArea>
    </chartFormat>
    <chartFormat chart="1" format="17">
      <pivotArea type="data" outline="0" fieldPosition="0">
        <references count="3">
          <reference field="4294967294" count="1" selected="0">
            <x v="0"/>
          </reference>
          <reference field="3" count="1" selected="0">
            <x v="2"/>
          </reference>
          <reference field="14" count="1" selected="0">
            <x v="3"/>
          </reference>
        </references>
      </pivotArea>
    </chartFormat>
    <chartFormat chart="1" format="18">
      <pivotArea type="data" outline="0" fieldPosition="0">
        <references count="3">
          <reference field="4294967294" count="1" selected="0">
            <x v="0"/>
          </reference>
          <reference field="3" count="1" selected="0">
            <x v="2"/>
          </reference>
          <reference field="14" count="1" selected="0">
            <x v="4"/>
          </reference>
        </references>
      </pivotArea>
    </chartFormat>
    <chartFormat chart="1" format="19">
      <pivotArea type="data" outline="0" fieldPosition="0">
        <references count="3">
          <reference field="4294967294" count="1" selected="0">
            <x v="0"/>
          </reference>
          <reference field="3" count="1" selected="0">
            <x v="2"/>
          </reference>
          <reference field="14" count="1" selected="0">
            <x v="5"/>
          </reference>
        </references>
      </pivotArea>
    </chartFormat>
    <chartFormat chart="34" format="40">
      <pivotArea type="data" outline="0" fieldPosition="0">
        <references count="3">
          <reference field="4294967294" count="1" selected="0">
            <x v="0"/>
          </reference>
          <reference field="3" count="1" selected="0">
            <x v="1"/>
          </reference>
          <reference field="14" count="1" selected="0">
            <x v="0"/>
          </reference>
        </references>
      </pivotArea>
    </chartFormat>
    <chartFormat chart="34" format="41">
      <pivotArea type="data" outline="0" fieldPosition="0">
        <references count="3">
          <reference field="4294967294" count="1" selected="0">
            <x v="0"/>
          </reference>
          <reference field="3" count="1" selected="0">
            <x v="1"/>
          </reference>
          <reference field="14" count="1" selected="0">
            <x v="1"/>
          </reference>
        </references>
      </pivotArea>
    </chartFormat>
    <chartFormat chart="34" format="42">
      <pivotArea type="data" outline="0" fieldPosition="0">
        <references count="3">
          <reference field="4294967294" count="1" selected="0">
            <x v="0"/>
          </reference>
          <reference field="3" count="1" selected="0">
            <x v="1"/>
          </reference>
          <reference field="14" count="1" selected="0">
            <x v="2"/>
          </reference>
        </references>
      </pivotArea>
    </chartFormat>
    <chartFormat chart="34" format="43">
      <pivotArea type="data" outline="0" fieldPosition="0">
        <references count="3">
          <reference field="4294967294" count="1" selected="0">
            <x v="0"/>
          </reference>
          <reference field="3" count="1" selected="0">
            <x v="1"/>
          </reference>
          <reference field="14" count="1" selected="0">
            <x v="3"/>
          </reference>
        </references>
      </pivotArea>
    </chartFormat>
    <chartFormat chart="34" format="44">
      <pivotArea type="data" outline="0" fieldPosition="0">
        <references count="3">
          <reference field="4294967294" count="1" selected="0">
            <x v="0"/>
          </reference>
          <reference field="3" count="1" selected="0">
            <x v="1"/>
          </reference>
          <reference field="14" count="1" selected="0">
            <x v="4"/>
          </reference>
        </references>
      </pivotArea>
    </chartFormat>
    <chartFormat chart="34" format="45">
      <pivotArea type="data" outline="0" fieldPosition="0">
        <references count="3">
          <reference field="4294967294" count="1" selected="0">
            <x v="0"/>
          </reference>
          <reference field="3" count="1" selected="0">
            <x v="1"/>
          </reference>
          <reference field="14" count="1" selected="0">
            <x v="5"/>
          </reference>
        </references>
      </pivotArea>
    </chartFormat>
    <chartFormat chart="34" format="46">
      <pivotArea type="data" outline="0" fieldPosition="0">
        <references count="3">
          <reference field="4294967294" count="1" selected="0">
            <x v="0"/>
          </reference>
          <reference field="3" count="1" selected="0">
            <x v="3"/>
          </reference>
          <reference field="14" count="1" selected="0">
            <x v="0"/>
          </reference>
        </references>
      </pivotArea>
    </chartFormat>
    <chartFormat chart="34" format="47">
      <pivotArea type="data" outline="0" fieldPosition="0">
        <references count="3">
          <reference field="4294967294" count="1" selected="0">
            <x v="0"/>
          </reference>
          <reference field="3" count="1" selected="0">
            <x v="3"/>
          </reference>
          <reference field="14" count="1" selected="0">
            <x v="1"/>
          </reference>
        </references>
      </pivotArea>
    </chartFormat>
    <chartFormat chart="34" format="48">
      <pivotArea type="data" outline="0" fieldPosition="0">
        <references count="3">
          <reference field="4294967294" count="1" selected="0">
            <x v="0"/>
          </reference>
          <reference field="3" count="1" selected="0">
            <x v="3"/>
          </reference>
          <reference field="14" count="1" selected="0">
            <x v="2"/>
          </reference>
        </references>
      </pivotArea>
    </chartFormat>
    <chartFormat chart="34" format="49">
      <pivotArea type="data" outline="0" fieldPosition="0">
        <references count="3">
          <reference field="4294967294" count="1" selected="0">
            <x v="0"/>
          </reference>
          <reference field="3" count="1" selected="0">
            <x v="3"/>
          </reference>
          <reference field="14" count="1" selected="0">
            <x v="3"/>
          </reference>
        </references>
      </pivotArea>
    </chartFormat>
    <chartFormat chart="34" format="50">
      <pivotArea type="data" outline="0" fieldPosition="0">
        <references count="3">
          <reference field="4294967294" count="1" selected="0">
            <x v="0"/>
          </reference>
          <reference field="3" count="1" selected="0">
            <x v="3"/>
          </reference>
          <reference field="14" count="1" selected="0">
            <x v="4"/>
          </reference>
        </references>
      </pivotArea>
    </chartFormat>
    <chartFormat chart="34" format="51">
      <pivotArea type="data" outline="0" fieldPosition="0">
        <references count="3">
          <reference field="4294967294" count="1" selected="0">
            <x v="0"/>
          </reference>
          <reference field="3" count="1" selected="0">
            <x v="3"/>
          </reference>
          <reference field="14" count="1" selected="0">
            <x v="5"/>
          </reference>
        </references>
      </pivotArea>
    </chartFormat>
    <chartFormat chart="34" format="52">
      <pivotArea type="data" outline="0" fieldPosition="0">
        <references count="3">
          <reference field="4294967294" count="1" selected="0">
            <x v="0"/>
          </reference>
          <reference field="3" count="1" selected="0">
            <x v="4"/>
          </reference>
          <reference field="14" count="1" selected="0">
            <x v="0"/>
          </reference>
        </references>
      </pivotArea>
    </chartFormat>
    <chartFormat chart="34" format="53">
      <pivotArea type="data" outline="0" fieldPosition="0">
        <references count="3">
          <reference field="4294967294" count="1" selected="0">
            <x v="0"/>
          </reference>
          <reference field="3" count="1" selected="0">
            <x v="4"/>
          </reference>
          <reference field="14" count="1" selected="0">
            <x v="1"/>
          </reference>
        </references>
      </pivotArea>
    </chartFormat>
    <chartFormat chart="34" format="54">
      <pivotArea type="data" outline="0" fieldPosition="0">
        <references count="3">
          <reference field="4294967294" count="1" selected="0">
            <x v="0"/>
          </reference>
          <reference field="3" count="1" selected="0">
            <x v="4"/>
          </reference>
          <reference field="14" count="1" selected="0">
            <x v="2"/>
          </reference>
        </references>
      </pivotArea>
    </chartFormat>
    <chartFormat chart="34" format="55">
      <pivotArea type="data" outline="0" fieldPosition="0">
        <references count="3">
          <reference field="4294967294" count="1" selected="0">
            <x v="0"/>
          </reference>
          <reference field="3" count="1" selected="0">
            <x v="4"/>
          </reference>
          <reference field="14" count="1" selected="0">
            <x v="3"/>
          </reference>
        </references>
      </pivotArea>
    </chartFormat>
    <chartFormat chart="34" format="56">
      <pivotArea type="data" outline="0" fieldPosition="0">
        <references count="3">
          <reference field="4294967294" count="1" selected="0">
            <x v="0"/>
          </reference>
          <reference field="3" count="1" selected="0">
            <x v="4"/>
          </reference>
          <reference field="14" count="1" selected="0">
            <x v="4"/>
          </reference>
        </references>
      </pivotArea>
    </chartFormat>
    <chartFormat chart="34" format="57">
      <pivotArea type="data" outline="0" fieldPosition="0">
        <references count="3">
          <reference field="4294967294" count="1" selected="0">
            <x v="0"/>
          </reference>
          <reference field="3" count="1" selected="0">
            <x v="4"/>
          </reference>
          <reference field="14" count="1" selected="0">
            <x v="5"/>
          </reference>
        </references>
      </pivotArea>
    </chartFormat>
    <chartFormat chart="1" format="20">
      <pivotArea type="data" outline="0" fieldPosition="0">
        <references count="3">
          <reference field="4294967294" count="1" selected="0">
            <x v="0"/>
          </reference>
          <reference field="3" count="1" selected="0">
            <x v="3"/>
          </reference>
          <reference field="14" count="1" selected="0">
            <x v="0"/>
          </reference>
        </references>
      </pivotArea>
    </chartFormat>
    <chartFormat chart="1" format="21">
      <pivotArea type="data" outline="0" fieldPosition="0">
        <references count="3">
          <reference field="4294967294" count="1" selected="0">
            <x v="0"/>
          </reference>
          <reference field="3" count="1" selected="0">
            <x v="3"/>
          </reference>
          <reference field="14" count="1" selected="0">
            <x v="1"/>
          </reference>
        </references>
      </pivotArea>
    </chartFormat>
    <chartFormat chart="1" format="22">
      <pivotArea type="data" outline="0" fieldPosition="0">
        <references count="3">
          <reference field="4294967294" count="1" selected="0">
            <x v="0"/>
          </reference>
          <reference field="3" count="1" selected="0">
            <x v="3"/>
          </reference>
          <reference field="14" count="1" selected="0">
            <x v="2"/>
          </reference>
        </references>
      </pivotArea>
    </chartFormat>
    <chartFormat chart="1" format="23">
      <pivotArea type="data" outline="0" fieldPosition="0">
        <references count="3">
          <reference field="4294967294" count="1" selected="0">
            <x v="0"/>
          </reference>
          <reference field="3" count="1" selected="0">
            <x v="3"/>
          </reference>
          <reference field="14" count="1" selected="0">
            <x v="3"/>
          </reference>
        </references>
      </pivotArea>
    </chartFormat>
    <chartFormat chart="1" format="24">
      <pivotArea type="data" outline="0" fieldPosition="0">
        <references count="3">
          <reference field="4294967294" count="1" selected="0">
            <x v="0"/>
          </reference>
          <reference field="3" count="1" selected="0">
            <x v="3"/>
          </reference>
          <reference field="14" count="1" selected="0">
            <x v="4"/>
          </reference>
        </references>
      </pivotArea>
    </chartFormat>
    <chartFormat chart="1" format="25">
      <pivotArea type="data" outline="0" fieldPosition="0">
        <references count="3">
          <reference field="4294967294" count="1" selected="0">
            <x v="0"/>
          </reference>
          <reference field="3" count="1" selected="0">
            <x v="3"/>
          </reference>
          <reference field="14" count="1" selected="0">
            <x v="5"/>
          </reference>
        </references>
      </pivotArea>
    </chartFormat>
    <chartFormat chart="1" format="26">
      <pivotArea type="data" outline="0" fieldPosition="0">
        <references count="3">
          <reference field="4294967294" count="1" selected="0">
            <x v="0"/>
          </reference>
          <reference field="3" count="1" selected="0">
            <x v="4"/>
          </reference>
          <reference field="14" count="1" selected="0">
            <x v="0"/>
          </reference>
        </references>
      </pivotArea>
    </chartFormat>
    <chartFormat chart="1" format="27">
      <pivotArea type="data" outline="0" fieldPosition="0">
        <references count="3">
          <reference field="4294967294" count="1" selected="0">
            <x v="0"/>
          </reference>
          <reference field="3" count="1" selected="0">
            <x v="4"/>
          </reference>
          <reference field="14" count="1" selected="0">
            <x v="1"/>
          </reference>
        </references>
      </pivotArea>
    </chartFormat>
    <chartFormat chart="1" format="28">
      <pivotArea type="data" outline="0" fieldPosition="0">
        <references count="3">
          <reference field="4294967294" count="1" selected="0">
            <x v="0"/>
          </reference>
          <reference field="3" count="1" selected="0">
            <x v="4"/>
          </reference>
          <reference field="14" count="1" selected="0">
            <x v="2"/>
          </reference>
        </references>
      </pivotArea>
    </chartFormat>
    <chartFormat chart="1" format="29">
      <pivotArea type="data" outline="0" fieldPosition="0">
        <references count="3">
          <reference field="4294967294" count="1" selected="0">
            <x v="0"/>
          </reference>
          <reference field="3" count="1" selected="0">
            <x v="4"/>
          </reference>
          <reference field="14" count="1" selected="0">
            <x v="3"/>
          </reference>
        </references>
      </pivotArea>
    </chartFormat>
    <chartFormat chart="1" format="30">
      <pivotArea type="data" outline="0" fieldPosition="0">
        <references count="3">
          <reference field="4294967294" count="1" selected="0">
            <x v="0"/>
          </reference>
          <reference field="3" count="1" selected="0">
            <x v="4"/>
          </reference>
          <reference field="14" count="1" selected="0">
            <x v="4"/>
          </reference>
        </references>
      </pivotArea>
    </chartFormat>
    <chartFormat chart="1" format="31">
      <pivotArea type="data" outline="0" fieldPosition="0">
        <references count="3">
          <reference field="4294967294" count="1" selected="0">
            <x v="0"/>
          </reference>
          <reference field="3" count="1" selected="0">
            <x v="4"/>
          </reference>
          <reference field="1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95CE378-6105-465B-92E6-FB6341A9EFE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E11" firstHeaderRow="1" firstDataRow="2" firstDataCol="1"/>
  <pivotFields count="18">
    <pivotField showAll="0"/>
    <pivotField showAll="0">
      <items count="102">
        <item x="88"/>
        <item x="19"/>
        <item x="67"/>
        <item x="64"/>
        <item x="31"/>
        <item x="60"/>
        <item x="12"/>
        <item x="78"/>
        <item x="69"/>
        <item x="89"/>
        <item x="72"/>
        <item x="8"/>
        <item x="35"/>
        <item x="56"/>
        <item x="28"/>
        <item x="95"/>
        <item x="22"/>
        <item x="4"/>
        <item x="24"/>
        <item x="20"/>
        <item x="59"/>
        <item x="16"/>
        <item x="25"/>
        <item x="43"/>
        <item x="65"/>
        <item x="5"/>
        <item x="30"/>
        <item x="49"/>
        <item x="45"/>
        <item x="76"/>
        <item x="39"/>
        <item x="3"/>
        <item x="33"/>
        <item x="70"/>
        <item x="44"/>
        <item x="57"/>
        <item x="52"/>
        <item x="74"/>
        <item x="79"/>
        <item x="98"/>
        <item x="15"/>
        <item x="51"/>
        <item x="73"/>
        <item x="62"/>
        <item x="11"/>
        <item x="32"/>
        <item x="41"/>
        <item x="27"/>
        <item x="61"/>
        <item x="94"/>
        <item x="80"/>
        <item x="23"/>
        <item x="85"/>
        <item x="84"/>
        <item x="77"/>
        <item x="99"/>
        <item x="92"/>
        <item x="82"/>
        <item x="53"/>
        <item x="1"/>
        <item x="13"/>
        <item x="97"/>
        <item x="7"/>
        <item x="14"/>
        <item x="36"/>
        <item x="63"/>
        <item x="71"/>
        <item x="10"/>
        <item x="6"/>
        <item x="46"/>
        <item x="66"/>
        <item x="75"/>
        <item x="87"/>
        <item x="42"/>
        <item x="86"/>
        <item x="29"/>
        <item x="0"/>
        <item x="37"/>
        <item x="50"/>
        <item x="2"/>
        <item x="54"/>
        <item x="40"/>
        <item x="96"/>
        <item x="90"/>
        <item x="9"/>
        <item x="34"/>
        <item x="21"/>
        <item x="68"/>
        <item x="81"/>
        <item x="91"/>
        <item x="38"/>
        <item x="83"/>
        <item x="18"/>
        <item x="48"/>
        <item x="47"/>
        <item x="93"/>
        <item x="17"/>
        <item x="55"/>
        <item x="26"/>
        <item x="58"/>
        <item x="100"/>
        <item t="default"/>
      </items>
    </pivotField>
    <pivotField axis="axisRow" showAll="0">
      <items count="8">
        <item x="0"/>
        <item x="4"/>
        <item x="3"/>
        <item x="5"/>
        <item x="2"/>
        <item x="1"/>
        <item h="1" x="6"/>
        <item t="default"/>
      </items>
    </pivotField>
    <pivotField showAll="0"/>
    <pivotField showAll="0"/>
    <pivotField showAll="0"/>
    <pivotField showAll="0"/>
    <pivotField showAll="0"/>
    <pivotField showAll="0"/>
    <pivotField dataField="1" showAll="0"/>
    <pivotField axis="axisCol" showAll="0">
      <items count="5">
        <item x="1"/>
        <item x="2"/>
        <item x="0"/>
        <item x="3"/>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2"/>
  </rowFields>
  <rowItems count="7">
    <i>
      <x/>
    </i>
    <i>
      <x v="1"/>
    </i>
    <i>
      <x v="2"/>
    </i>
    <i>
      <x v="3"/>
    </i>
    <i>
      <x v="4"/>
    </i>
    <i>
      <x v="5"/>
    </i>
    <i t="grand">
      <x/>
    </i>
  </rowItems>
  <colFields count="1">
    <field x="10"/>
  </colFields>
  <colItems count="4">
    <i>
      <x/>
    </i>
    <i>
      <x v="1"/>
    </i>
    <i>
      <x v="2"/>
    </i>
    <i t="grand">
      <x/>
    </i>
  </colItems>
  <dataFields count="1">
    <dataField name="Sum of Total spend" fld="9" showDataAs="percentOfRow" baseField="0" baseItem="0" numFmtId="10"/>
  </dataFields>
  <chartFormats count="6">
    <chartFormat chart="3" format="0" series="1">
      <pivotArea type="data" outline="0" fieldPosition="0">
        <references count="2">
          <reference field="4294967294" count="1" selected="0">
            <x v="0"/>
          </reference>
          <reference field="10" count="1" selected="0">
            <x v="0"/>
          </reference>
        </references>
      </pivotArea>
    </chartFormat>
    <chartFormat chart="3" format="1" series="1">
      <pivotArea type="data" outline="0" fieldPosition="0">
        <references count="2">
          <reference field="4294967294" count="1" selected="0">
            <x v="0"/>
          </reference>
          <reference field="10" count="1" selected="0">
            <x v="1"/>
          </reference>
        </references>
      </pivotArea>
    </chartFormat>
    <chartFormat chart="3" format="2" series="1">
      <pivotArea type="data" outline="0" fieldPosition="0">
        <references count="2">
          <reference field="4294967294" count="1" selected="0">
            <x v="0"/>
          </reference>
          <reference field="10" count="1" selected="0">
            <x v="2"/>
          </reference>
        </references>
      </pivotArea>
    </chartFormat>
    <chartFormat chart="5" format="6" series="1">
      <pivotArea type="data" outline="0" fieldPosition="0">
        <references count="2">
          <reference field="4294967294" count="1" selected="0">
            <x v="0"/>
          </reference>
          <reference field="10" count="1" selected="0">
            <x v="0"/>
          </reference>
        </references>
      </pivotArea>
    </chartFormat>
    <chartFormat chart="5" format="7" series="1">
      <pivotArea type="data" outline="0" fieldPosition="0">
        <references count="2">
          <reference field="4294967294" count="1" selected="0">
            <x v="0"/>
          </reference>
          <reference field="10" count="1" selected="0">
            <x v="1"/>
          </reference>
        </references>
      </pivotArea>
    </chartFormat>
    <chartFormat chart="5"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FFA9DEF-1324-4E05-9A86-C58D2EB86359}"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1:I18" firstHeaderRow="1" firstDataRow="1" firstDataCol="1"/>
  <pivotFields count="9">
    <pivotField axis="axisRow" showAll="0">
      <items count="7">
        <item x="0"/>
        <item x="1"/>
        <item x="2"/>
        <item x="3"/>
        <item x="4"/>
        <item x="5"/>
        <item t="default"/>
      </items>
    </pivotField>
    <pivotField showAll="0"/>
    <pivotField showAll="0"/>
    <pivotField showAll="0"/>
    <pivotField numFmtId="14" showAll="0"/>
    <pivotField numFmtId="14" showAll="0"/>
    <pivotField dataField="1" showAll="0"/>
    <pivotField showAll="0"/>
    <pivotField showAll="0"/>
  </pivotFields>
  <rowFields count="1">
    <field x="0"/>
  </rowFields>
  <rowItems count="7">
    <i>
      <x/>
    </i>
    <i>
      <x v="1"/>
    </i>
    <i>
      <x v="2"/>
    </i>
    <i>
      <x v="3"/>
    </i>
    <i>
      <x v="4"/>
    </i>
    <i>
      <x v="5"/>
    </i>
    <i t="grand">
      <x/>
    </i>
  </rowItems>
  <colItems count="1">
    <i/>
  </colItems>
  <dataFields count="1">
    <dataField name="Average of On_Time_Delivery_%" fld="6" subtotal="average" baseField="0" baseItem="0"/>
  </dataFields>
  <formats count="1">
    <format dxfId="13">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46C95B5-5FF0-4C41-81A3-51D292179570}"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13:C20" firstHeaderRow="1" firstDataRow="1" firstDataCol="1"/>
  <pivotFields count="9">
    <pivotField showAll="0"/>
    <pivotField axis="axisRow" showAll="0">
      <items count="7">
        <item x="2"/>
        <item x="5"/>
        <item x="3"/>
        <item x="4"/>
        <item x="1"/>
        <item x="0"/>
        <item t="default"/>
      </items>
    </pivotField>
    <pivotField showAll="0"/>
    <pivotField showAll="0"/>
    <pivotField numFmtId="14" showAll="0"/>
    <pivotField numFmtId="14" showAll="0"/>
    <pivotField showAll="0"/>
    <pivotField dataField="1" showAll="0"/>
    <pivotField showAll="0"/>
  </pivotFields>
  <rowFields count="1">
    <field x="1"/>
  </rowFields>
  <rowItems count="7">
    <i>
      <x/>
    </i>
    <i>
      <x v="1"/>
    </i>
    <i>
      <x v="2"/>
    </i>
    <i>
      <x v="3"/>
    </i>
    <i>
      <x v="4"/>
    </i>
    <i>
      <x v="5"/>
    </i>
    <i t="grand">
      <x/>
    </i>
  </rowItems>
  <colItems count="1">
    <i/>
  </colItems>
  <dataFields count="1">
    <dataField name="Sum of Quality_Score" fld="7"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501C53F-A5F7-44ED-90DA-B182CFAF8C2C}"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E12" firstHeaderRow="1" firstDataRow="2" firstDataCol="1"/>
  <pivotFields count="7">
    <pivotField showAll="0"/>
    <pivotField showAll="0"/>
    <pivotField numFmtId="14" showAll="0">
      <items count="111">
        <item x="69"/>
        <item x="30"/>
        <item x="98"/>
        <item x="101"/>
        <item x="76"/>
        <item x="37"/>
        <item x="32"/>
        <item x="59"/>
        <item x="33"/>
        <item x="91"/>
        <item x="51"/>
        <item x="8"/>
        <item x="6"/>
        <item x="72"/>
        <item x="12"/>
        <item x="24"/>
        <item x="25"/>
        <item x="55"/>
        <item x="48"/>
        <item x="71"/>
        <item x="81"/>
        <item x="53"/>
        <item x="61"/>
        <item x="40"/>
        <item x="60"/>
        <item x="83"/>
        <item x="85"/>
        <item x="104"/>
        <item x="26"/>
        <item x="27"/>
        <item x="19"/>
        <item x="34"/>
        <item x="82"/>
        <item x="108"/>
        <item x="90"/>
        <item x="109"/>
        <item x="15"/>
        <item x="20"/>
        <item x="92"/>
        <item x="11"/>
        <item x="42"/>
        <item x="78"/>
        <item x="17"/>
        <item x="105"/>
        <item x="3"/>
        <item x="66"/>
        <item x="44"/>
        <item x="74"/>
        <item x="63"/>
        <item x="89"/>
        <item x="99"/>
        <item x="96"/>
        <item x="52"/>
        <item x="18"/>
        <item x="75"/>
        <item x="67"/>
        <item x="22"/>
        <item x="46"/>
        <item x="35"/>
        <item x="14"/>
        <item x="10"/>
        <item x="1"/>
        <item x="47"/>
        <item x="100"/>
        <item x="13"/>
        <item x="64"/>
        <item x="5"/>
        <item x="70"/>
        <item x="58"/>
        <item x="38"/>
        <item x="2"/>
        <item x="68"/>
        <item x="23"/>
        <item x="73"/>
        <item x="28"/>
        <item x="102"/>
        <item x="54"/>
        <item x="95"/>
        <item x="9"/>
        <item x="86"/>
        <item x="49"/>
        <item x="21"/>
        <item x="29"/>
        <item x="4"/>
        <item x="94"/>
        <item x="80"/>
        <item x="36"/>
        <item x="87"/>
        <item x="56"/>
        <item x="57"/>
        <item x="45"/>
        <item x="103"/>
        <item x="41"/>
        <item x="93"/>
        <item x="43"/>
        <item x="84"/>
        <item x="79"/>
        <item x="31"/>
        <item x="77"/>
        <item x="107"/>
        <item x="106"/>
        <item x="7"/>
        <item x="62"/>
        <item x="16"/>
        <item x="50"/>
        <item x="0"/>
        <item x="65"/>
        <item x="97"/>
        <item x="39"/>
        <item x="88"/>
        <item t="default"/>
      </items>
    </pivotField>
    <pivotField dataField="1" numFmtId="1" showAll="0">
      <items count="151">
        <item x="122"/>
        <item x="25"/>
        <item x="71"/>
        <item x="135"/>
        <item x="88"/>
        <item x="131"/>
        <item x="137"/>
        <item x="41"/>
        <item x="56"/>
        <item x="32"/>
        <item x="123"/>
        <item x="73"/>
        <item x="16"/>
        <item x="61"/>
        <item x="86"/>
        <item x="92"/>
        <item x="120"/>
        <item x="127"/>
        <item x="139"/>
        <item x="128"/>
        <item x="7"/>
        <item x="54"/>
        <item x="44"/>
        <item x="59"/>
        <item x="13"/>
        <item x="113"/>
        <item x="2"/>
        <item x="67"/>
        <item x="21"/>
        <item x="49"/>
        <item x="101"/>
        <item x="50"/>
        <item x="35"/>
        <item x="124"/>
        <item x="27"/>
        <item x="80"/>
        <item x="20"/>
        <item x="4"/>
        <item x="100"/>
        <item x="70"/>
        <item x="22"/>
        <item x="108"/>
        <item x="96"/>
        <item x="18"/>
        <item x="98"/>
        <item x="31"/>
        <item x="130"/>
        <item x="97"/>
        <item x="17"/>
        <item x="118"/>
        <item x="114"/>
        <item x="75"/>
        <item x="46"/>
        <item x="115"/>
        <item x="39"/>
        <item x="62"/>
        <item x="103"/>
        <item x="58"/>
        <item x="83"/>
        <item x="5"/>
        <item x="34"/>
        <item x="110"/>
        <item x="145"/>
        <item x="69"/>
        <item x="60"/>
        <item x="0"/>
        <item x="63"/>
        <item x="42"/>
        <item x="68"/>
        <item x="82"/>
        <item x="66"/>
        <item x="136"/>
        <item x="45"/>
        <item x="48"/>
        <item x="119"/>
        <item x="12"/>
        <item x="78"/>
        <item x="19"/>
        <item x="14"/>
        <item x="144"/>
        <item x="134"/>
        <item x="142"/>
        <item x="6"/>
        <item x="107"/>
        <item x="23"/>
        <item x="9"/>
        <item x="74"/>
        <item x="55"/>
        <item x="111"/>
        <item x="76"/>
        <item x="125"/>
        <item x="99"/>
        <item x="132"/>
        <item x="36"/>
        <item x="28"/>
        <item x="133"/>
        <item x="140"/>
        <item x="138"/>
        <item x="79"/>
        <item x="33"/>
        <item x="126"/>
        <item x="11"/>
        <item x="143"/>
        <item x="102"/>
        <item x="129"/>
        <item x="43"/>
        <item x="141"/>
        <item x="149"/>
        <item x="8"/>
        <item x="89"/>
        <item x="121"/>
        <item x="24"/>
        <item x="147"/>
        <item x="85"/>
        <item x="77"/>
        <item x="72"/>
        <item x="38"/>
        <item x="64"/>
        <item x="91"/>
        <item x="57"/>
        <item x="47"/>
        <item x="117"/>
        <item x="15"/>
        <item x="112"/>
        <item x="105"/>
        <item x="87"/>
        <item x="65"/>
        <item x="94"/>
        <item x="104"/>
        <item x="40"/>
        <item x="84"/>
        <item x="37"/>
        <item x="1"/>
        <item x="81"/>
        <item x="52"/>
        <item x="3"/>
        <item x="95"/>
        <item x="109"/>
        <item x="90"/>
        <item x="106"/>
        <item x="30"/>
        <item x="53"/>
        <item x="10"/>
        <item x="116"/>
        <item x="51"/>
        <item x="146"/>
        <item x="26"/>
        <item x="29"/>
        <item x="93"/>
        <item x="148"/>
        <item t="default"/>
      </items>
    </pivotField>
    <pivotField axis="axisCol" showAll="0">
      <items count="4">
        <item x="2"/>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8">
    <i>
      <x v="1"/>
    </i>
    <i>
      <x v="2"/>
    </i>
    <i>
      <x v="3"/>
    </i>
    <i>
      <x v="4"/>
    </i>
    <i>
      <x v="5"/>
    </i>
    <i>
      <x v="6"/>
    </i>
    <i>
      <x v="7"/>
    </i>
    <i t="grand">
      <x/>
    </i>
  </rowItems>
  <colFields count="1">
    <field x="4"/>
  </colFields>
  <colItems count="4">
    <i>
      <x/>
    </i>
    <i>
      <x v="1"/>
    </i>
    <i>
      <x v="2"/>
    </i>
    <i t="grand">
      <x/>
    </i>
  </colItems>
  <dataFields count="1">
    <dataField name="Sum of Invoice_Amount_INR" fld="3" showDataAs="percentOfRow" baseField="0" baseItem="0" numFmtId="10"/>
  </dataFields>
  <chartFormats count="6">
    <chartFormat chart="1" format="4" series="1">
      <pivotArea type="data" outline="0" fieldPosition="0">
        <references count="1">
          <reference field="4" count="1" selected="0">
            <x v="0"/>
          </reference>
        </references>
      </pivotArea>
    </chartFormat>
    <chartFormat chart="1" format="5" series="1">
      <pivotArea type="data" outline="0" fieldPosition="0">
        <references count="1">
          <reference field="4" count="1" selected="0">
            <x v="1"/>
          </reference>
        </references>
      </pivotArea>
    </chartFormat>
    <chartFormat chart="1" format="6" series="1">
      <pivotArea type="data" outline="0" fieldPosition="0">
        <references count="1">
          <reference field="4" count="1" selected="0">
            <x v="2"/>
          </reference>
        </references>
      </pivotArea>
    </chartFormat>
    <chartFormat chart="1" format="7" series="1">
      <pivotArea type="data" outline="0" fieldPosition="0">
        <references count="2">
          <reference field="4294967294" count="1" selected="0">
            <x v="0"/>
          </reference>
          <reference field="4" count="1" selected="0">
            <x v="1"/>
          </reference>
        </references>
      </pivotArea>
    </chartFormat>
    <chartFormat chart="1" format="8" series="1">
      <pivotArea type="data" outline="0" fieldPosition="0">
        <references count="2">
          <reference field="4294967294" count="1" selected="0">
            <x v="0"/>
          </reference>
          <reference field="4" count="1" selected="0">
            <x v="2"/>
          </reference>
        </references>
      </pivotArea>
    </chartFormat>
    <chartFormat chart="1" format="9" series="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85BA51A-FBEA-4FDD-901E-B1667D5E284E}"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7:M15" firstHeaderRow="1" firstDataRow="2" firstDataCol="1"/>
  <pivotFields count="3">
    <pivotField axis="axisRow" showAll="0">
      <items count="7">
        <item x="2"/>
        <item x="5"/>
        <item x="4"/>
        <item x="3"/>
        <item x="1"/>
        <item x="0"/>
        <item t="default"/>
      </items>
    </pivotField>
    <pivotField axis="axisCol" showAll="0">
      <items count="7">
        <item x="0"/>
        <item x="1"/>
        <item x="2"/>
        <item x="3"/>
        <item x="4"/>
        <item x="5"/>
        <item t="default"/>
      </items>
    </pivotField>
    <pivotField dataField="1" showAll="0"/>
  </pivotFields>
  <rowFields count="1">
    <field x="0"/>
  </rowFields>
  <rowItems count="7">
    <i>
      <x/>
    </i>
    <i>
      <x v="1"/>
    </i>
    <i>
      <x v="2"/>
    </i>
    <i>
      <x v="3"/>
    </i>
    <i>
      <x v="4"/>
    </i>
    <i>
      <x v="5"/>
    </i>
    <i t="grand">
      <x/>
    </i>
  </rowItems>
  <colFields count="1">
    <field x="1"/>
  </colFields>
  <colItems count="7">
    <i>
      <x/>
    </i>
    <i>
      <x v="1"/>
    </i>
    <i>
      <x v="2"/>
    </i>
    <i>
      <x v="3"/>
    </i>
    <i>
      <x v="4"/>
    </i>
    <i>
      <x v="5"/>
    </i>
    <i t="grand">
      <x/>
    </i>
  </colItems>
  <dataFields count="1">
    <dataField name="Sum of Budget_INR"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D32F04B-8A1C-4C5D-A8B3-C6A6AC3E9445}"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1:M31" firstHeaderRow="1" firstDataRow="4" firstDataCol="1"/>
  <pivotFields count="18">
    <pivotField showAll="0"/>
    <pivotField axis="axisCol" showAll="0">
      <items count="102">
        <item x="88"/>
        <item x="19"/>
        <item x="67"/>
        <item x="64"/>
        <item x="31"/>
        <item x="60"/>
        <item x="12"/>
        <item x="78"/>
        <item x="69"/>
        <item x="89"/>
        <item x="72"/>
        <item x="8"/>
        <item x="35"/>
        <item x="56"/>
        <item x="28"/>
        <item x="95"/>
        <item x="22"/>
        <item x="4"/>
        <item x="24"/>
        <item x="20"/>
        <item x="59"/>
        <item x="16"/>
        <item x="25"/>
        <item x="43"/>
        <item x="65"/>
        <item x="5"/>
        <item x="30"/>
        <item x="49"/>
        <item x="45"/>
        <item x="76"/>
        <item x="39"/>
        <item x="3"/>
        <item x="33"/>
        <item x="70"/>
        <item x="44"/>
        <item x="57"/>
        <item x="52"/>
        <item x="74"/>
        <item x="79"/>
        <item x="98"/>
        <item x="15"/>
        <item x="51"/>
        <item x="73"/>
        <item x="62"/>
        <item x="11"/>
        <item x="32"/>
        <item x="41"/>
        <item x="27"/>
        <item x="61"/>
        <item x="94"/>
        <item x="80"/>
        <item x="23"/>
        <item x="85"/>
        <item x="84"/>
        <item x="77"/>
        <item x="99"/>
        <item x="92"/>
        <item x="82"/>
        <item x="53"/>
        <item x="1"/>
        <item x="13"/>
        <item x="97"/>
        <item x="7"/>
        <item x="14"/>
        <item x="36"/>
        <item x="63"/>
        <item x="71"/>
        <item x="10"/>
        <item x="6"/>
        <item x="46"/>
        <item x="66"/>
        <item x="75"/>
        <item x="87"/>
        <item x="42"/>
        <item x="86"/>
        <item x="29"/>
        <item x="0"/>
        <item x="37"/>
        <item x="50"/>
        <item x="2"/>
        <item x="54"/>
        <item x="40"/>
        <item x="96"/>
        <item x="90"/>
        <item x="9"/>
        <item x="34"/>
        <item x="21"/>
        <item x="68"/>
        <item x="81"/>
        <item x="91"/>
        <item x="38"/>
        <item x="83"/>
        <item x="18"/>
        <item x="48"/>
        <item x="47"/>
        <item x="93"/>
        <item x="17"/>
        <item x="55"/>
        <item x="26"/>
        <item x="58"/>
        <item x="100"/>
        <item t="default"/>
      </items>
    </pivotField>
    <pivotField showAll="0"/>
    <pivotField axis="axisRow" showAll="0">
      <items count="8">
        <item x="0"/>
        <item x="4"/>
        <item x="3"/>
        <item x="5"/>
        <item x="2"/>
        <item x="1"/>
        <item x="6"/>
        <item t="default"/>
      </items>
    </pivotField>
    <pivotField showAll="0">
      <items count="14">
        <item x="9"/>
        <item x="7"/>
        <item x="10"/>
        <item x="2"/>
        <item x="5"/>
        <item x="6"/>
        <item x="0"/>
        <item x="8"/>
        <item x="1"/>
        <item x="4"/>
        <item x="11"/>
        <item x="3"/>
        <item x="12"/>
        <item t="default"/>
      </items>
    </pivotField>
    <pivotField showAll="0"/>
    <pivotField showAll="0"/>
    <pivotField showAll="0"/>
    <pivotField showAll="0"/>
    <pivotField dataField="1" showAll="0"/>
    <pivotField showAll="0"/>
    <pivotField showAll="0"/>
    <pivotField showAll="0"/>
    <pivotField showAll="0"/>
    <pivotField showAll="0"/>
    <pivotField axis="axisCol"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h="1" sd="0" x="0"/>
        <item sd="0" x="1"/>
        <item sd="0" x="2"/>
        <item sd="0" x="3"/>
        <item sd="0" x="4"/>
        <item sd="0" x="5"/>
        <item sd="0" x="6"/>
        <item sd="0" x="7"/>
        <item sd="0" x="8"/>
        <item sd="0" x="9"/>
        <item sd="0" x="10"/>
        <item sd="0" x="11"/>
        <item sd="0" x="12"/>
        <item h="1" sd="0" x="13"/>
        <item t="default"/>
      </items>
    </pivotField>
    <pivotField dragToRow="0" dragToCol="0" dragToPage="0" showAll="0" defaultSubtotal="0"/>
  </pivotFields>
  <rowFields count="1">
    <field x="3"/>
  </rowFields>
  <rowItems count="7">
    <i>
      <x/>
    </i>
    <i>
      <x v="1"/>
    </i>
    <i>
      <x v="2"/>
    </i>
    <i>
      <x v="3"/>
    </i>
    <i>
      <x v="4"/>
    </i>
    <i>
      <x v="5"/>
    </i>
    <i t="grand">
      <x/>
    </i>
  </rowItems>
  <colFields count="3">
    <field x="16"/>
    <field x="15"/>
    <field x="1"/>
  </colFields>
  <colItems count="7">
    <i>
      <x v="1"/>
    </i>
    <i>
      <x v="2"/>
    </i>
    <i>
      <x v="3"/>
    </i>
    <i>
      <x v="4"/>
    </i>
    <i>
      <x v="5"/>
    </i>
    <i>
      <x v="6"/>
    </i>
    <i t="grand">
      <x/>
    </i>
  </colItems>
  <dataFields count="1">
    <dataField name="Sum of Total spend" fld="9" baseField="0" baseItem="0" numFmtId="1"/>
  </dataFields>
  <formats count="2">
    <format dxfId="6">
      <pivotArea outline="0" collapsedLevelsAreSubtotals="1" fieldPosition="0"/>
    </format>
    <format dxfId="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B995911-FB6C-40CC-B727-F34305D50BCD}" sourceName="Category">
  <pivotTables>
    <pivotTable tabId="7" name="PivotTable10"/>
  </pivotTables>
  <data>
    <tabular pivotCacheId="1362694212">
      <items count="7">
        <i x="0"/>
        <i x="4" s="1"/>
        <i x="3" s="1"/>
        <i x="5" s="1"/>
        <i x="2" s="1"/>
        <i x="1"/>
        <i x="6"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4656C0A-6B5C-4AFA-974A-D33209356AB4}"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E64088-0424-42E9-BC73-4967C92BF49B}" name="Purchase" displayName="Purchase" ref="A1:O152" totalsRowShown="0" headerRowDxfId="23">
  <autoFilter ref="A1:O152" xr:uid="{BBE64088-0424-42E9-BC73-4967C92BF49B}"/>
  <tableColumns count="15">
    <tableColumn id="1" xr3:uid="{2255ACAC-F996-4E88-AB3D-8A4670DFF4DE}" name="PO_ID"/>
    <tableColumn id="2" xr3:uid="{9FCA9781-1474-46A7-BC7E-F910E1350182}" name="PO_Date" dataDxfId="22"/>
    <tableColumn id="4" xr3:uid="{C00542AC-CE58-4ABD-A7AD-9B401A0B8C0C}" name="Category"/>
    <tableColumn id="5" xr3:uid="{FFF0E6BF-66B4-41D1-8FEA-E4B602AD8653}" name="Material"/>
    <tableColumn id="6" xr3:uid="{31963889-1E3F-4A4B-93DE-5BE06815A85B}" name="Supplier_ID"/>
    <tableColumn id="7" xr3:uid="{B5061E9F-1CF5-4041-AF6F-7EB68C0659AC}" name="Country"/>
    <tableColumn id="8" xr3:uid="{20403BE6-3878-4210-A2E4-B2191A99B73B}" name="Qty"/>
    <tableColumn id="9" xr3:uid="{1F72892D-9E61-446A-A7A0-B6BC393CFB08}" name="Unit_Price_INR" dataDxfId="21"/>
    <tableColumn id="10" xr3:uid="{BECB460F-9D2F-4595-9D67-B74A847A9D6F}" name="PO value " dataDxfId="20"/>
    <tableColumn id="11" xr3:uid="{F83A9BAE-E443-41F6-BA69-C69EA3689773}" name="Status"/>
    <tableColumn id="15" xr3:uid="{38F4C309-B180-470C-B9EF-A7CB804BDD0D}" name="Invoice_Date" dataDxfId="19"/>
    <tableColumn id="16" xr3:uid="{19219756-B487-4CAF-B0E9-9CF1E920D850}" name="Invoice_Amount_INR" dataDxfId="18"/>
    <tableColumn id="17" xr3:uid="{AB429213-F4D0-4D3C-9C23-48E8E2BAFA36}" name="Payment_Status"/>
    <tableColumn id="18" xr3:uid="{D8AB21B8-B7B7-4734-A327-90B1F7F1C3FE}" name="Supplier_Name" dataDxfId="17">
      <calculatedColumnFormula>VLOOKUP(Purchase[[#This Row],[Supplier_ID]],Supplier[],MATCH(Purchase[[#Headers],[Supplier_Name]],Supplier[#Headers],0),0)</calculatedColumnFormula>
    </tableColumn>
    <tableColumn id="3" xr3:uid="{F31DADC4-B608-4558-A6A2-313186752E48}" name="Total Budget"/>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D775910-DFC8-4CDC-BE30-90E816AB84C7}" name="Supplier" displayName="Supplier" ref="A1:I7" totalsRowShown="0" headerRowDxfId="12">
  <autoFilter ref="A1:I7" xr:uid="{2D775910-DFC8-4CDC-BE30-90E816AB84C7}"/>
  <tableColumns count="9">
    <tableColumn id="1" xr3:uid="{9BB8537D-1AF5-4CEA-97AA-490577D6B049}" name="Supplier_ID"/>
    <tableColumn id="2" xr3:uid="{2A070A37-7C31-4FF1-9263-C1859214A744}" name="Supplier_Name"/>
    <tableColumn id="3" xr3:uid="{0367CDB1-E5AD-4CA8-95A1-0C37188970C2}" name="Country"/>
    <tableColumn id="4" xr3:uid="{21789560-ED16-438C-839F-ED6353DEEA1A}" name="Preferred_Category"/>
    <tableColumn id="5" xr3:uid="{4AB89E29-0854-4C1E-BB57-DD001E993235}" name="Contract_Start" dataDxfId="11"/>
    <tableColumn id="6" xr3:uid="{67D6EE8F-B6BC-428F-8EE5-48DA594AE53E}" name="Contract_End" dataDxfId="10"/>
    <tableColumn id="7" xr3:uid="{144129C2-B00F-4565-BB71-454343765276}" name="On_Time_Delivery_%"/>
    <tableColumn id="8" xr3:uid="{F13B0B0E-A487-4638-8057-588F22230942}" name="Quality_Score"/>
    <tableColumn id="9" xr3:uid="{46BD30E3-992D-49D2-84AB-03E4D2B518CC}" name="Payment_Terms"/>
  </tableColumns>
  <tableStyleInfo name="TableStyleMedium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D4493AD-55B5-4A82-928D-17BD2916E414}" name="Invoice" displayName="Invoice" ref="A1:E151" totalsRowShown="0" headerRowDxfId="9">
  <autoFilter ref="A1:E151" xr:uid="{BD4493AD-55B5-4A82-928D-17BD2916E414}"/>
  <tableColumns count="5">
    <tableColumn id="1" xr3:uid="{3B1A7B03-E7B4-4B30-B829-930B30569721}" name="Invoice_ID"/>
    <tableColumn id="2" xr3:uid="{7D031E12-3CB9-4E14-8166-CD5B3078A9D2}" name="PO_ID"/>
    <tableColumn id="3" xr3:uid="{AF01A4F1-28C8-48C9-87C8-5DF094EBA553}" name="Invoice_Date" dataDxfId="8"/>
    <tableColumn id="4" xr3:uid="{0C856735-75F9-432F-8A68-A690ABA260D2}" name="Invoice_Amount_INR" dataDxfId="7"/>
    <tableColumn id="5" xr3:uid="{2DE1F3C1-EF68-401E-995A-8AA9936FBBCA}" name="Payment_Status"/>
  </tableColumns>
  <tableStyleInfo name="TableStyleLight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8E68CD3-CB5A-4DF6-BB9A-223F568B3BE6}" name="Table6" displayName="Table6" ref="A3:C39" totalsRowShown="0">
  <autoFilter ref="A3:C39" xr:uid="{C8E68CD3-CB5A-4DF6-BB9A-223F568B3BE6}"/>
  <tableColumns count="3">
    <tableColumn id="1" xr3:uid="{37B99881-D25C-4545-AF9D-BA421BB1A23C}" name="Business_Unit"/>
    <tableColumn id="2" xr3:uid="{407CADA0-83BA-4897-A44F-70B1D84C3AF4}" name="Month"/>
    <tableColumn id="3" xr3:uid="{84710F5A-927B-4EDC-B471-18D1F10236B1}" name="Budget_INR"/>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D391725-7B10-49CA-B387-0CE6FF544F69}" name="Budget" displayName="Budget" ref="A1:C37" totalsRowShown="0" headerRowDxfId="4">
  <autoFilter ref="A1:C37" xr:uid="{BD391725-7B10-49CA-B387-0CE6FF544F69}"/>
  <tableColumns count="3">
    <tableColumn id="1" xr3:uid="{BC6B2C37-C860-4563-9206-0F4B49D4FA6E}" name="Business_Unit"/>
    <tableColumn id="2" xr3:uid="{829AA5F6-5B7C-4D42-A4F7-C23E076D6513}" name="Month"/>
    <tableColumn id="3" xr3:uid="{241E2131-ADD2-4803-A89A-1B9711FE2A64}" name="Budget_INR"/>
  </tableColumns>
  <tableStyleInfo name="TableStyleLight1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45D1D77-1321-4617-BB38-9ED2C9242101}" name="Calender" displayName="Calender" ref="A1:D182" totalsRowShown="0" headerRowDxfId="3">
  <autoFilter ref="A1:D182" xr:uid="{245D1D77-1321-4617-BB38-9ED2C9242101}"/>
  <tableColumns count="4">
    <tableColumn id="1" xr3:uid="{0BAE80E5-E7FB-43E8-9BD2-5C1DCF0B35AE}" name="Date" dataDxfId="2"/>
    <tableColumn id="2" xr3:uid="{922DB04B-B5C3-4252-B750-7FE0AD674E5C}" name="Year"/>
    <tableColumn id="3" xr3:uid="{B77C475A-0CB4-43F1-9B5F-1CA88B95E50E}" name="Month"/>
    <tableColumn id="4" xr3:uid="{FC43551B-0CB3-46A8-A51F-38067C84B8A8}" name="Quarter"/>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pivotTable" Target="../pivotTables/pivotTable15.xml"/><Relationship Id="rId1" Type="http://schemas.openxmlformats.org/officeDocument/2006/relationships/pivotTable" Target="../pivotTables/pivotTable1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EA0BC-47B7-41C9-999E-7D039D9F433B}">
  <dimension ref="A1:U45"/>
  <sheetViews>
    <sheetView tabSelected="1" topLeftCell="A5" zoomScaleNormal="100" workbookViewId="0">
      <selection activeCell="J16" sqref="J16"/>
    </sheetView>
  </sheetViews>
  <sheetFormatPr defaultColWidth="0" defaultRowHeight="15" zeroHeight="1" x14ac:dyDescent="0.25"/>
  <cols>
    <col min="1" max="21" width="9.140625" style="12" customWidth="1"/>
    <col min="22" max="16384" width="9.140625" style="12" hidden="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row r="4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C623D-24FE-4DA5-9EC6-C74C8DD18A12}">
  <dimension ref="B2:J35"/>
  <sheetViews>
    <sheetView topLeftCell="A11" workbookViewId="0">
      <selection activeCell="F12" sqref="F12"/>
    </sheetView>
  </sheetViews>
  <sheetFormatPr defaultRowHeight="15" x14ac:dyDescent="0.25"/>
  <cols>
    <col min="2" max="2" width="19.7109375" bestFit="1" customWidth="1"/>
    <col min="3" max="4" width="18.140625" bestFit="1" customWidth="1"/>
    <col min="5" max="5" width="6.42578125" customWidth="1"/>
    <col min="6" max="6" width="25.42578125" customWidth="1"/>
    <col min="7" max="7" width="17" customWidth="1"/>
    <col min="9" max="9" width="19.7109375" bestFit="1" customWidth="1"/>
  </cols>
  <sheetData>
    <row r="2" spans="2:10" x14ac:dyDescent="0.25">
      <c r="F2" s="1" t="s">
        <v>396</v>
      </c>
      <c r="G2" s="3">
        <v>4676713418.4099979</v>
      </c>
    </row>
    <row r="3" spans="2:10" x14ac:dyDescent="0.25">
      <c r="B3" t="s">
        <v>402</v>
      </c>
      <c r="C3" t="s">
        <v>404</v>
      </c>
      <c r="F3" s="1" t="s">
        <v>397</v>
      </c>
      <c r="G3" s="7">
        <v>0.73</v>
      </c>
    </row>
    <row r="4" spans="2:10" x14ac:dyDescent="0.25">
      <c r="B4" s="3">
        <v>4676713418.4099979</v>
      </c>
      <c r="C4" s="9">
        <v>6410000000</v>
      </c>
      <c r="F4" s="1" t="s">
        <v>398</v>
      </c>
      <c r="G4" s="3">
        <v>1733286582</v>
      </c>
    </row>
    <row r="5" spans="2:10" x14ac:dyDescent="0.25">
      <c r="C5" t="s">
        <v>407</v>
      </c>
      <c r="F5" s="1" t="s">
        <v>399</v>
      </c>
      <c r="G5">
        <v>150</v>
      </c>
    </row>
    <row r="6" spans="2:10" x14ac:dyDescent="0.25">
      <c r="C6" s="11">
        <v>4676713418.4099998</v>
      </c>
      <c r="F6" s="1" t="s">
        <v>414</v>
      </c>
      <c r="G6">
        <v>31178089</v>
      </c>
      <c r="J6" s="1"/>
    </row>
    <row r="7" spans="2:10" x14ac:dyDescent="0.25">
      <c r="F7" s="1" t="s">
        <v>400</v>
      </c>
      <c r="G7">
        <v>6</v>
      </c>
    </row>
    <row r="8" spans="2:10" x14ac:dyDescent="0.25">
      <c r="C8" t="s">
        <v>406</v>
      </c>
      <c r="D8" s="10">
        <f>C6/C4</f>
        <v>0.72959647713104525</v>
      </c>
      <c r="F8" s="1" t="s">
        <v>401</v>
      </c>
      <c r="G8" s="10">
        <v>0.89</v>
      </c>
    </row>
    <row r="9" spans="2:10" x14ac:dyDescent="0.25">
      <c r="B9" t="s">
        <v>409</v>
      </c>
      <c r="C9" t="s">
        <v>408</v>
      </c>
      <c r="D9" s="3">
        <f>C4-C6</f>
        <v>1733286581.5900002</v>
      </c>
      <c r="F9" s="1" t="s">
        <v>417</v>
      </c>
      <c r="G9" t="s">
        <v>22</v>
      </c>
    </row>
    <row r="10" spans="2:10" x14ac:dyDescent="0.25">
      <c r="B10">
        <v>150</v>
      </c>
      <c r="F10" t="s">
        <v>418</v>
      </c>
      <c r="G10" t="s">
        <v>419</v>
      </c>
    </row>
    <row r="12" spans="2:10" x14ac:dyDescent="0.25">
      <c r="B12" s="4"/>
    </row>
    <row r="13" spans="2:10" x14ac:dyDescent="0.25">
      <c r="B13" s="4"/>
    </row>
    <row r="15" spans="2:10" x14ac:dyDescent="0.25">
      <c r="B15" s="5" t="s">
        <v>411</v>
      </c>
      <c r="C15" t="s">
        <v>381</v>
      </c>
    </row>
    <row r="16" spans="2:10" x14ac:dyDescent="0.25">
      <c r="B16" s="6" t="s">
        <v>22</v>
      </c>
      <c r="C16" s="3">
        <v>1006107478.21</v>
      </c>
      <c r="E16" s="6" t="s">
        <v>412</v>
      </c>
    </row>
    <row r="17" spans="2:9" x14ac:dyDescent="0.25">
      <c r="B17" s="6" t="s">
        <v>38</v>
      </c>
      <c r="C17" s="3">
        <v>831501622.00999999</v>
      </c>
      <c r="E17" s="6" t="s">
        <v>50</v>
      </c>
    </row>
    <row r="18" spans="2:9" x14ac:dyDescent="0.25">
      <c r="B18" s="6" t="s">
        <v>30</v>
      </c>
      <c r="C18" s="3">
        <v>765292792.26000011</v>
      </c>
    </row>
    <row r="19" spans="2:9" x14ac:dyDescent="0.25">
      <c r="B19" s="6" t="s">
        <v>12</v>
      </c>
      <c r="C19" s="3">
        <v>866130980.98000014</v>
      </c>
      <c r="I19" t="s">
        <v>409</v>
      </c>
    </row>
    <row r="20" spans="2:9" x14ac:dyDescent="0.25">
      <c r="B20" s="6" t="s">
        <v>16</v>
      </c>
      <c r="C20" s="3">
        <v>730145537.94000006</v>
      </c>
      <c r="I20">
        <v>150</v>
      </c>
    </row>
    <row r="21" spans="2:9" x14ac:dyDescent="0.25">
      <c r="B21" s="6" t="s">
        <v>50</v>
      </c>
      <c r="C21" s="3">
        <v>477535007.00999999</v>
      </c>
    </row>
    <row r="22" spans="2:9" x14ac:dyDescent="0.25">
      <c r="B22" s="6" t="s">
        <v>380</v>
      </c>
      <c r="C22" s="3">
        <v>4676713418.4099998</v>
      </c>
    </row>
    <row r="27" spans="2:9" x14ac:dyDescent="0.25">
      <c r="B27" s="5" t="s">
        <v>413</v>
      </c>
      <c r="C27" t="s">
        <v>381</v>
      </c>
      <c r="F27" t="s">
        <v>403</v>
      </c>
    </row>
    <row r="28" spans="2:9" x14ac:dyDescent="0.25">
      <c r="B28" s="6" t="s">
        <v>10</v>
      </c>
      <c r="C28">
        <v>883362316.23000014</v>
      </c>
      <c r="F28" s="3">
        <v>31178089.456066653</v>
      </c>
    </row>
    <row r="29" spans="2:9" x14ac:dyDescent="0.25">
      <c r="B29" s="6" t="s">
        <v>46</v>
      </c>
      <c r="C29">
        <v>1227464047.5800002</v>
      </c>
    </row>
    <row r="30" spans="2:9" x14ac:dyDescent="0.25">
      <c r="B30" s="6" t="s">
        <v>28</v>
      </c>
      <c r="C30">
        <v>558533881.42000008</v>
      </c>
    </row>
    <row r="31" spans="2:9" x14ac:dyDescent="0.25">
      <c r="B31" s="6" t="s">
        <v>62</v>
      </c>
      <c r="C31">
        <v>742136981.32000017</v>
      </c>
    </row>
    <row r="32" spans="2:9" x14ac:dyDescent="0.25">
      <c r="B32" s="6" t="s">
        <v>25</v>
      </c>
      <c r="C32">
        <v>573468419.76999998</v>
      </c>
    </row>
    <row r="33" spans="2:3" x14ac:dyDescent="0.25">
      <c r="B33" s="6" t="s">
        <v>20</v>
      </c>
      <c r="C33">
        <v>691747772.09000003</v>
      </c>
    </row>
    <row r="34" spans="2:3" x14ac:dyDescent="0.25">
      <c r="B34" s="6" t="s">
        <v>410</v>
      </c>
    </row>
    <row r="35" spans="2:3" x14ac:dyDescent="0.25">
      <c r="B35" s="6" t="s">
        <v>380</v>
      </c>
      <c r="C35">
        <v>4676713418.4100008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52"/>
  <sheetViews>
    <sheetView topLeftCell="C1" workbookViewId="0">
      <selection activeCell="O3" sqref="O3"/>
    </sheetView>
  </sheetViews>
  <sheetFormatPr defaultRowHeight="15" x14ac:dyDescent="0.25"/>
  <cols>
    <col min="2" max="2" width="11.28515625" customWidth="1"/>
    <col min="4" max="4" width="11" customWidth="1"/>
    <col min="5" max="5" width="17.140625" customWidth="1"/>
    <col min="6" max="6" width="13.42578125" customWidth="1"/>
    <col min="7" max="7" width="10.140625" customWidth="1"/>
    <col min="9" max="9" width="16.5703125" customWidth="1"/>
    <col min="10" max="10" width="16" customWidth="1"/>
    <col min="11" max="11" width="11.140625" customWidth="1"/>
    <col min="12" max="12" width="15.140625" customWidth="1"/>
    <col min="13" max="13" width="14.140625" customWidth="1"/>
    <col min="14" max="14" width="17.28515625" customWidth="1"/>
    <col min="15" max="15" width="17.85546875" customWidth="1"/>
  </cols>
  <sheetData>
    <row r="1" spans="1:15" x14ac:dyDescent="0.25">
      <c r="A1" s="1" t="s">
        <v>0</v>
      </c>
      <c r="B1" s="1" t="s">
        <v>1</v>
      </c>
      <c r="C1" s="1" t="s">
        <v>2</v>
      </c>
      <c r="D1" s="1" t="s">
        <v>3</v>
      </c>
      <c r="E1" s="1" t="s">
        <v>4</v>
      </c>
      <c r="F1" s="1" t="s">
        <v>5</v>
      </c>
      <c r="G1" s="1" t="s">
        <v>6</v>
      </c>
      <c r="H1" s="1" t="s">
        <v>7</v>
      </c>
      <c r="I1" s="1" t="s">
        <v>385</v>
      </c>
      <c r="J1" s="1" t="s">
        <v>8</v>
      </c>
      <c r="K1" s="1" t="s">
        <v>209</v>
      </c>
      <c r="L1" s="1" t="s">
        <v>210</v>
      </c>
      <c r="M1" s="1" t="s">
        <v>211</v>
      </c>
      <c r="N1" s="1" t="s">
        <v>192</v>
      </c>
      <c r="O1" s="1" t="s">
        <v>404</v>
      </c>
    </row>
    <row r="2" spans="1:15" x14ac:dyDescent="0.25">
      <c r="A2" t="s">
        <v>9</v>
      </c>
      <c r="B2" s="2">
        <v>45795</v>
      </c>
      <c r="C2" t="s">
        <v>10</v>
      </c>
      <c r="D2" t="s">
        <v>11</v>
      </c>
      <c r="E2" t="s">
        <v>12</v>
      </c>
      <c r="F2" t="s">
        <v>13</v>
      </c>
      <c r="G2">
        <v>343</v>
      </c>
      <c r="H2" s="3">
        <v>16830.169999999998</v>
      </c>
      <c r="I2" s="3">
        <v>5772748.3099999996</v>
      </c>
      <c r="J2" t="s">
        <v>14</v>
      </c>
      <c r="K2" s="2">
        <v>45861</v>
      </c>
      <c r="L2" s="3">
        <v>19387087.960000001</v>
      </c>
      <c r="M2" t="s">
        <v>213</v>
      </c>
      <c r="N2" t="str">
        <f>VLOOKUP(Purchase[[#This Row],[Supplier_ID]],Supplier[],MATCH(Purchase[[#Headers],[Supplier_Name]],Supplier[#Headers],0),0)</f>
        <v>Hitachi</v>
      </c>
      <c r="O2">
        <v>6410000000</v>
      </c>
    </row>
    <row r="3" spans="1:15" x14ac:dyDescent="0.25">
      <c r="A3" t="s">
        <v>15</v>
      </c>
      <c r="B3" s="2">
        <v>45769</v>
      </c>
      <c r="C3" t="s">
        <v>10</v>
      </c>
      <c r="D3" t="s">
        <v>11</v>
      </c>
      <c r="E3" t="s">
        <v>16</v>
      </c>
      <c r="F3" t="s">
        <v>17</v>
      </c>
      <c r="G3">
        <v>119</v>
      </c>
      <c r="H3" s="3">
        <v>14186.44</v>
      </c>
      <c r="I3" s="3">
        <v>1688186.36</v>
      </c>
      <c r="J3" t="s">
        <v>18</v>
      </c>
      <c r="K3" s="2">
        <v>45773</v>
      </c>
      <c r="L3" s="3">
        <v>40758532.539999999</v>
      </c>
      <c r="M3" t="s">
        <v>215</v>
      </c>
      <c r="N3" t="str">
        <f>VLOOKUP(Purchase[[#This Row],[Supplier_ID]],Supplier[],MATCH(Purchase[[#Headers],[Supplier_Name]],Supplier[#Headers],0),0)</f>
        <v>Schneider Electric</v>
      </c>
    </row>
    <row r="4" spans="1:15" x14ac:dyDescent="0.25">
      <c r="A4" t="s">
        <v>19</v>
      </c>
      <c r="B4" s="2">
        <v>45802</v>
      </c>
      <c r="C4" t="s">
        <v>20</v>
      </c>
      <c r="D4" t="s">
        <v>21</v>
      </c>
      <c r="E4" t="s">
        <v>22</v>
      </c>
      <c r="F4" t="s">
        <v>23</v>
      </c>
      <c r="G4">
        <v>292</v>
      </c>
      <c r="H4" s="3">
        <v>109007.2</v>
      </c>
      <c r="I4" s="3">
        <v>31830102.399999999</v>
      </c>
      <c r="J4" t="s">
        <v>14</v>
      </c>
      <c r="K4" s="2">
        <v>45790</v>
      </c>
      <c r="L4" s="3">
        <v>9228667.6500000004</v>
      </c>
      <c r="M4" t="s">
        <v>217</v>
      </c>
      <c r="N4" t="str">
        <f>VLOOKUP(Purchase[[#This Row],[Supplier_ID]],Supplier[],MATCH(Purchase[[#Headers],[Supplier_Name]],Supplier[#Headers],0),0)</f>
        <v>Siemens India</v>
      </c>
    </row>
    <row r="5" spans="1:15" x14ac:dyDescent="0.25">
      <c r="A5" t="s">
        <v>24</v>
      </c>
      <c r="B5" s="2">
        <v>45714</v>
      </c>
      <c r="C5" t="s">
        <v>25</v>
      </c>
      <c r="D5" t="s">
        <v>26</v>
      </c>
      <c r="E5" t="s">
        <v>16</v>
      </c>
      <c r="F5" t="s">
        <v>17</v>
      </c>
      <c r="G5">
        <v>309</v>
      </c>
      <c r="H5" s="3">
        <v>102186.72</v>
      </c>
      <c r="I5" s="3">
        <v>31575696.48</v>
      </c>
      <c r="J5" t="s">
        <v>14</v>
      </c>
      <c r="K5" s="2">
        <v>45740</v>
      </c>
      <c r="L5" s="3">
        <v>41155487.100000001</v>
      </c>
      <c r="M5" t="s">
        <v>215</v>
      </c>
      <c r="N5" t="str">
        <f>VLOOKUP(Purchase[[#This Row],[Supplier_ID]],Supplier[],MATCH(Purchase[[#Headers],[Supplier_Name]],Supplier[#Headers],0),0)</f>
        <v>Schneider Electric</v>
      </c>
    </row>
    <row r="6" spans="1:15" x14ac:dyDescent="0.25">
      <c r="A6" t="s">
        <v>27</v>
      </c>
      <c r="B6" s="2">
        <v>45688</v>
      </c>
      <c r="C6" t="s">
        <v>28</v>
      </c>
      <c r="D6" t="s">
        <v>29</v>
      </c>
      <c r="E6" t="s">
        <v>30</v>
      </c>
      <c r="F6" t="s">
        <v>31</v>
      </c>
      <c r="G6">
        <v>224</v>
      </c>
      <c r="H6" s="3">
        <v>40342.5</v>
      </c>
      <c r="I6" s="3">
        <v>9036720</v>
      </c>
      <c r="J6" t="s">
        <v>32</v>
      </c>
      <c r="K6" s="2">
        <v>45818</v>
      </c>
      <c r="L6" s="3">
        <v>11883511.310000001</v>
      </c>
      <c r="M6" t="s">
        <v>213</v>
      </c>
      <c r="N6" t="str">
        <f>VLOOKUP(Purchase[[#This Row],[Supplier_ID]],Supplier[],MATCH(Purchase[[#Headers],[Supplier_Name]],Supplier[#Headers],0),0)</f>
        <v>BHP Supplies</v>
      </c>
    </row>
    <row r="7" spans="1:15" x14ac:dyDescent="0.25">
      <c r="A7" t="s">
        <v>33</v>
      </c>
      <c r="B7" s="2">
        <v>45706</v>
      </c>
      <c r="C7" t="s">
        <v>10</v>
      </c>
      <c r="D7" t="s">
        <v>11</v>
      </c>
      <c r="E7" t="s">
        <v>22</v>
      </c>
      <c r="F7" t="s">
        <v>23</v>
      </c>
      <c r="G7">
        <v>307</v>
      </c>
      <c r="H7" s="3">
        <v>144945.07999999999</v>
      </c>
      <c r="I7" s="3">
        <v>44498139.560000002</v>
      </c>
      <c r="J7" t="s">
        <v>18</v>
      </c>
      <c r="K7" s="2">
        <v>45780</v>
      </c>
      <c r="L7" s="3">
        <v>18156736.199999999</v>
      </c>
      <c r="M7" t="s">
        <v>217</v>
      </c>
      <c r="N7" t="str">
        <f>VLOOKUP(Purchase[[#This Row],[Supplier_ID]],Supplier[],MATCH(Purchase[[#Headers],[Supplier_Name]],Supplier[#Headers],0),0)</f>
        <v>Siemens India</v>
      </c>
    </row>
    <row r="8" spans="1:15" x14ac:dyDescent="0.25">
      <c r="A8" t="s">
        <v>34</v>
      </c>
      <c r="B8" s="2">
        <v>45785</v>
      </c>
      <c r="C8" t="s">
        <v>20</v>
      </c>
      <c r="D8" t="s">
        <v>21</v>
      </c>
      <c r="E8" t="s">
        <v>16</v>
      </c>
      <c r="F8" t="s">
        <v>17</v>
      </c>
      <c r="G8">
        <v>40</v>
      </c>
      <c r="H8" s="3">
        <v>156657.35</v>
      </c>
      <c r="I8" s="3">
        <v>6266294</v>
      </c>
      <c r="J8" t="s">
        <v>32</v>
      </c>
      <c r="K8" s="2">
        <v>45683</v>
      </c>
      <c r="L8" s="3">
        <v>25643050.530000001</v>
      </c>
      <c r="M8" t="s">
        <v>213</v>
      </c>
      <c r="N8" t="str">
        <f>VLOOKUP(Purchase[[#This Row],[Supplier_ID]],Supplier[],MATCH(Purchase[[#Headers],[Supplier_Name]],Supplier[#Headers],0),0)</f>
        <v>Schneider Electric</v>
      </c>
    </row>
    <row r="9" spans="1:15" x14ac:dyDescent="0.25">
      <c r="A9" t="s">
        <v>35</v>
      </c>
      <c r="B9" s="2">
        <v>45774</v>
      </c>
      <c r="C9" t="s">
        <v>28</v>
      </c>
      <c r="D9" t="s">
        <v>36</v>
      </c>
      <c r="E9" t="s">
        <v>30</v>
      </c>
      <c r="F9" t="s">
        <v>31</v>
      </c>
      <c r="G9">
        <v>248</v>
      </c>
      <c r="H9" s="3">
        <v>148462.66</v>
      </c>
      <c r="I9" s="3">
        <v>36818739.68</v>
      </c>
      <c r="J9" t="s">
        <v>18</v>
      </c>
      <c r="K9" s="2">
        <v>45855</v>
      </c>
      <c r="L9" s="3">
        <v>8080875.4400000004</v>
      </c>
      <c r="M9" t="s">
        <v>213</v>
      </c>
      <c r="N9" t="str">
        <f>VLOOKUP(Purchase[[#This Row],[Supplier_ID]],Supplier[],MATCH(Purchase[[#Headers],[Supplier_Name]],Supplier[#Headers],0),0)</f>
        <v>BHP Supplies</v>
      </c>
    </row>
    <row r="10" spans="1:15" x14ac:dyDescent="0.25">
      <c r="A10" t="s">
        <v>37</v>
      </c>
      <c r="B10" s="2">
        <v>45678</v>
      </c>
      <c r="C10" t="s">
        <v>10</v>
      </c>
      <c r="D10" t="s">
        <v>11</v>
      </c>
      <c r="E10" t="s">
        <v>38</v>
      </c>
      <c r="F10" t="s">
        <v>39</v>
      </c>
      <c r="G10">
        <v>367</v>
      </c>
      <c r="H10" s="3">
        <v>196058.26</v>
      </c>
      <c r="I10" s="3">
        <v>71953381.420000002</v>
      </c>
      <c r="J10" t="s">
        <v>32</v>
      </c>
      <c r="K10" s="2">
        <v>45679</v>
      </c>
      <c r="L10" s="3">
        <v>32512345.280000001</v>
      </c>
      <c r="M10" t="s">
        <v>213</v>
      </c>
      <c r="N10" t="str">
        <f>VLOOKUP(Purchase[[#This Row],[Supplier_ID]],Supplier[],MATCH(Purchase[[#Headers],[Supplier_Name]],Supplier[#Headers],0),0)</f>
        <v>Shanghai Solar Tech</v>
      </c>
    </row>
    <row r="11" spans="1:15" x14ac:dyDescent="0.25">
      <c r="A11" t="s">
        <v>40</v>
      </c>
      <c r="B11" s="2">
        <v>45813</v>
      </c>
      <c r="C11" t="s">
        <v>10</v>
      </c>
      <c r="D11" t="s">
        <v>41</v>
      </c>
      <c r="E11" t="s">
        <v>30</v>
      </c>
      <c r="F11" t="s">
        <v>31</v>
      </c>
      <c r="G11">
        <v>383</v>
      </c>
      <c r="H11" s="3">
        <v>114964.38</v>
      </c>
      <c r="I11" s="3">
        <v>44031357.539999999</v>
      </c>
      <c r="J11" t="s">
        <v>14</v>
      </c>
      <c r="K11" s="2">
        <v>45804</v>
      </c>
      <c r="L11" s="3">
        <v>27276369.32</v>
      </c>
      <c r="M11" t="s">
        <v>215</v>
      </c>
      <c r="N11" t="str">
        <f>VLOOKUP(Purchase[[#This Row],[Supplier_ID]],Supplier[],MATCH(Purchase[[#Headers],[Supplier_Name]],Supplier[#Headers],0),0)</f>
        <v>BHP Supplies</v>
      </c>
    </row>
    <row r="12" spans="1:15" x14ac:dyDescent="0.25">
      <c r="A12" t="s">
        <v>42</v>
      </c>
      <c r="B12" s="2">
        <v>45783</v>
      </c>
      <c r="C12" t="s">
        <v>20</v>
      </c>
      <c r="D12" t="s">
        <v>43</v>
      </c>
      <c r="E12" t="s">
        <v>38</v>
      </c>
      <c r="F12" t="s">
        <v>39</v>
      </c>
      <c r="G12">
        <v>397</v>
      </c>
      <c r="H12" s="3">
        <v>88803.67</v>
      </c>
      <c r="I12" s="3">
        <v>35255056.990000002</v>
      </c>
      <c r="J12" t="s">
        <v>18</v>
      </c>
      <c r="K12" s="2">
        <v>45772</v>
      </c>
      <c r="L12" s="3">
        <v>44185383.859999999</v>
      </c>
      <c r="M12" t="s">
        <v>215</v>
      </c>
      <c r="N12" t="str">
        <f>VLOOKUP(Purchase[[#This Row],[Supplier_ID]],Supplier[],MATCH(Purchase[[#Headers],[Supplier_Name]],Supplier[#Headers],0),0)</f>
        <v>Shanghai Solar Tech</v>
      </c>
    </row>
    <row r="13" spans="1:15" x14ac:dyDescent="0.25">
      <c r="A13" t="s">
        <v>44</v>
      </c>
      <c r="B13" s="2">
        <v>45738</v>
      </c>
      <c r="C13" t="s">
        <v>20</v>
      </c>
      <c r="D13" t="s">
        <v>21</v>
      </c>
      <c r="E13" t="s">
        <v>16</v>
      </c>
      <c r="F13" t="s">
        <v>17</v>
      </c>
      <c r="G13">
        <v>303</v>
      </c>
      <c r="H13" s="3">
        <v>198328.07</v>
      </c>
      <c r="I13" s="3">
        <v>60093405.210000001</v>
      </c>
      <c r="J13" t="s">
        <v>18</v>
      </c>
      <c r="K13" s="2">
        <v>45730</v>
      </c>
      <c r="L13" s="3">
        <v>31267618.510000002</v>
      </c>
      <c r="M13" t="s">
        <v>215</v>
      </c>
      <c r="N13" t="str">
        <f>VLOOKUP(Purchase[[#This Row],[Supplier_ID]],Supplier[],MATCH(Purchase[[#Headers],[Supplier_Name]],Supplier[#Headers],0),0)</f>
        <v>Schneider Electric</v>
      </c>
    </row>
    <row r="14" spans="1:15" x14ac:dyDescent="0.25">
      <c r="A14" t="s">
        <v>45</v>
      </c>
      <c r="B14" s="2">
        <v>45774</v>
      </c>
      <c r="C14" t="s">
        <v>46</v>
      </c>
      <c r="D14" t="s">
        <v>47</v>
      </c>
      <c r="E14" t="s">
        <v>16</v>
      </c>
      <c r="F14" t="s">
        <v>17</v>
      </c>
      <c r="G14">
        <v>264</v>
      </c>
      <c r="H14" s="3">
        <v>147074.32999999999</v>
      </c>
      <c r="I14" s="3">
        <v>38827623.119999997</v>
      </c>
      <c r="J14" t="s">
        <v>14</v>
      </c>
      <c r="K14" s="2">
        <v>45687</v>
      </c>
      <c r="L14" s="3">
        <v>21110907.739999998</v>
      </c>
      <c r="M14" t="s">
        <v>217</v>
      </c>
      <c r="N14" t="str">
        <f>VLOOKUP(Purchase[[#This Row],[Supplier_ID]],Supplier[],MATCH(Purchase[[#Headers],[Supplier_Name]],Supplier[#Headers],0),0)</f>
        <v>Schneider Electric</v>
      </c>
    </row>
    <row r="15" spans="1:15" x14ac:dyDescent="0.25">
      <c r="A15" t="s">
        <v>48</v>
      </c>
      <c r="B15" s="2">
        <v>45673</v>
      </c>
      <c r="C15" t="s">
        <v>20</v>
      </c>
      <c r="D15" t="s">
        <v>43</v>
      </c>
      <c r="E15" t="s">
        <v>12</v>
      </c>
      <c r="F15" t="s">
        <v>13</v>
      </c>
      <c r="G15">
        <v>366</v>
      </c>
      <c r="H15" s="3">
        <v>167717.29</v>
      </c>
      <c r="I15" s="3">
        <v>61384528.140000001</v>
      </c>
      <c r="J15" t="s">
        <v>32</v>
      </c>
      <c r="K15" s="2">
        <v>45777</v>
      </c>
      <c r="L15" s="3">
        <v>8742273.9199999999</v>
      </c>
      <c r="M15" t="s">
        <v>215</v>
      </c>
      <c r="N15" t="str">
        <f>VLOOKUP(Purchase[[#This Row],[Supplier_ID]],Supplier[],MATCH(Purchase[[#Headers],[Supplier_Name]],Supplier[#Headers],0),0)</f>
        <v>Hitachi</v>
      </c>
    </row>
    <row r="16" spans="1:15" x14ac:dyDescent="0.25">
      <c r="A16" t="s">
        <v>49</v>
      </c>
      <c r="B16" s="2">
        <v>45772</v>
      </c>
      <c r="C16" t="s">
        <v>46</v>
      </c>
      <c r="D16" t="s">
        <v>47</v>
      </c>
      <c r="E16" t="s">
        <v>50</v>
      </c>
      <c r="F16" t="s">
        <v>51</v>
      </c>
      <c r="G16">
        <v>305</v>
      </c>
      <c r="H16" s="3">
        <v>248308.51</v>
      </c>
      <c r="I16" s="3">
        <v>75734095.549999997</v>
      </c>
      <c r="J16" t="s">
        <v>18</v>
      </c>
      <c r="K16" s="2">
        <v>45769</v>
      </c>
      <c r="L16" s="3">
        <v>23100095.91</v>
      </c>
      <c r="M16" t="s">
        <v>217</v>
      </c>
      <c r="N16" t="str">
        <f>VLOOKUP(Purchase[[#This Row],[Supplier_ID]],Supplier[],MATCH(Purchase[[#Headers],[Supplier_Name]],Supplier[#Headers],0),0)</f>
        <v>DP World Industrial</v>
      </c>
    </row>
    <row r="17" spans="1:14" x14ac:dyDescent="0.25">
      <c r="A17" t="s">
        <v>52</v>
      </c>
      <c r="B17" s="2">
        <v>45776</v>
      </c>
      <c r="C17" t="s">
        <v>46</v>
      </c>
      <c r="D17" t="s">
        <v>47</v>
      </c>
      <c r="E17" t="s">
        <v>50</v>
      </c>
      <c r="F17" t="s">
        <v>51</v>
      </c>
      <c r="G17">
        <v>187</v>
      </c>
      <c r="H17" s="3">
        <v>10527.92</v>
      </c>
      <c r="I17" s="3">
        <v>1968721.04</v>
      </c>
      <c r="J17" t="s">
        <v>18</v>
      </c>
      <c r="K17" s="2">
        <v>45723</v>
      </c>
      <c r="L17" s="3">
        <v>37424054.530000001</v>
      </c>
      <c r="M17" t="s">
        <v>217</v>
      </c>
      <c r="N17" t="str">
        <f>VLOOKUP(Purchase[[#This Row],[Supplier_ID]],Supplier[],MATCH(Purchase[[#Headers],[Supplier_Name]],Supplier[#Headers],0),0)</f>
        <v>DP World Industrial</v>
      </c>
    </row>
    <row r="18" spans="1:14" x14ac:dyDescent="0.25">
      <c r="A18" t="s">
        <v>53</v>
      </c>
      <c r="B18" s="2">
        <v>45731</v>
      </c>
      <c r="C18" t="s">
        <v>25</v>
      </c>
      <c r="D18" t="s">
        <v>26</v>
      </c>
      <c r="E18" t="s">
        <v>12</v>
      </c>
      <c r="F18" t="s">
        <v>13</v>
      </c>
      <c r="G18">
        <v>40</v>
      </c>
      <c r="H18" s="3">
        <v>58460.9</v>
      </c>
      <c r="I18" s="3">
        <v>2338436</v>
      </c>
      <c r="J18" t="s">
        <v>14</v>
      </c>
      <c r="K18" s="2">
        <v>45857</v>
      </c>
      <c r="L18" s="3">
        <v>6146120.4000000004</v>
      </c>
      <c r="M18" t="s">
        <v>213</v>
      </c>
      <c r="N18" t="str">
        <f>VLOOKUP(Purchase[[#This Row],[Supplier_ID]],Supplier[],MATCH(Purchase[[#Headers],[Supplier_Name]],Supplier[#Headers],0),0)</f>
        <v>Hitachi</v>
      </c>
    </row>
    <row r="19" spans="1:14" x14ac:dyDescent="0.25">
      <c r="A19" t="s">
        <v>54</v>
      </c>
      <c r="B19" s="2">
        <v>45785</v>
      </c>
      <c r="C19" t="s">
        <v>46</v>
      </c>
      <c r="D19" t="s">
        <v>55</v>
      </c>
      <c r="E19" t="s">
        <v>12</v>
      </c>
      <c r="F19" t="s">
        <v>13</v>
      </c>
      <c r="G19">
        <v>210</v>
      </c>
      <c r="H19" s="3">
        <v>229619.98</v>
      </c>
      <c r="I19" s="3">
        <v>48220195.799999997</v>
      </c>
      <c r="J19" t="s">
        <v>14</v>
      </c>
      <c r="K19" s="2">
        <v>45738</v>
      </c>
      <c r="L19" s="3">
        <v>14041905.84</v>
      </c>
      <c r="M19" t="s">
        <v>213</v>
      </c>
      <c r="N19" t="str">
        <f>VLOOKUP(Purchase[[#This Row],[Supplier_ID]],Supplier[],MATCH(Purchase[[#Headers],[Supplier_Name]],Supplier[#Headers],0),0)</f>
        <v>Hitachi</v>
      </c>
    </row>
    <row r="20" spans="1:14" x14ac:dyDescent="0.25">
      <c r="A20" t="s">
        <v>56</v>
      </c>
      <c r="B20" s="2">
        <v>45693</v>
      </c>
      <c r="C20" t="s">
        <v>25</v>
      </c>
      <c r="D20" t="s">
        <v>57</v>
      </c>
      <c r="E20" t="s">
        <v>12</v>
      </c>
      <c r="F20" t="s">
        <v>13</v>
      </c>
      <c r="G20">
        <v>291</v>
      </c>
      <c r="H20" s="3">
        <v>73070.59</v>
      </c>
      <c r="I20" s="3">
        <v>21263541.690000001</v>
      </c>
      <c r="J20" t="s">
        <v>18</v>
      </c>
      <c r="K20" s="2">
        <v>45758</v>
      </c>
      <c r="L20" s="3">
        <v>12777419.539999999</v>
      </c>
      <c r="M20" t="s">
        <v>213</v>
      </c>
      <c r="N20" t="str">
        <f>VLOOKUP(Purchase[[#This Row],[Supplier_ID]],Supplier[],MATCH(Purchase[[#Headers],[Supplier_Name]],Supplier[#Headers],0),0)</f>
        <v>Hitachi</v>
      </c>
    </row>
    <row r="21" spans="1:14" x14ac:dyDescent="0.25">
      <c r="A21" t="s">
        <v>58</v>
      </c>
      <c r="B21" s="2">
        <v>45832</v>
      </c>
      <c r="C21" t="s">
        <v>28</v>
      </c>
      <c r="D21" t="s">
        <v>36</v>
      </c>
      <c r="E21" t="s">
        <v>50</v>
      </c>
      <c r="F21" t="s">
        <v>51</v>
      </c>
      <c r="G21">
        <v>222</v>
      </c>
      <c r="H21" s="3">
        <v>246684.43</v>
      </c>
      <c r="I21" s="3">
        <v>54763943.460000001</v>
      </c>
      <c r="J21" t="s">
        <v>18</v>
      </c>
      <c r="K21" s="2">
        <v>45713</v>
      </c>
      <c r="L21" s="3">
        <v>22025948.300000001</v>
      </c>
      <c r="M21" t="s">
        <v>215</v>
      </c>
      <c r="N21" t="str">
        <f>VLOOKUP(Purchase[[#This Row],[Supplier_ID]],Supplier[],MATCH(Purchase[[#Headers],[Supplier_Name]],Supplier[#Headers],0),0)</f>
        <v>DP World Industrial</v>
      </c>
    </row>
    <row r="22" spans="1:14" x14ac:dyDescent="0.25">
      <c r="A22" t="s">
        <v>59</v>
      </c>
      <c r="B22" s="2">
        <v>45826</v>
      </c>
      <c r="C22" t="s">
        <v>25</v>
      </c>
      <c r="D22" t="s">
        <v>26</v>
      </c>
      <c r="E22" t="s">
        <v>22</v>
      </c>
      <c r="F22" t="s">
        <v>23</v>
      </c>
      <c r="G22">
        <v>100</v>
      </c>
      <c r="H22" s="3">
        <v>42068.1</v>
      </c>
      <c r="I22" s="3">
        <v>4206810</v>
      </c>
      <c r="J22" t="s">
        <v>14</v>
      </c>
      <c r="K22" s="2">
        <v>45725</v>
      </c>
      <c r="L22" s="3">
        <v>11851650.1</v>
      </c>
      <c r="M22" t="s">
        <v>213</v>
      </c>
      <c r="N22" t="str">
        <f>VLOOKUP(Purchase[[#This Row],[Supplier_ID]],Supplier[],MATCH(Purchase[[#Headers],[Supplier_Name]],Supplier[#Headers],0),0)</f>
        <v>Siemens India</v>
      </c>
    </row>
    <row r="23" spans="1:14" x14ac:dyDescent="0.25">
      <c r="A23" t="s">
        <v>60</v>
      </c>
      <c r="B23" s="2">
        <v>45659</v>
      </c>
      <c r="C23" t="s">
        <v>20</v>
      </c>
      <c r="D23" t="s">
        <v>43</v>
      </c>
      <c r="E23" t="s">
        <v>16</v>
      </c>
      <c r="F23" t="s">
        <v>17</v>
      </c>
      <c r="G23">
        <v>103</v>
      </c>
      <c r="H23" s="3">
        <v>69372.92</v>
      </c>
      <c r="I23" s="3">
        <v>7145410.7599999998</v>
      </c>
      <c r="J23" t="s">
        <v>14</v>
      </c>
      <c r="K23" s="2">
        <v>45811</v>
      </c>
      <c r="L23" s="3">
        <v>9493681.6999999993</v>
      </c>
      <c r="M23" t="s">
        <v>215</v>
      </c>
      <c r="N23" t="str">
        <f>VLOOKUP(Purchase[[#This Row],[Supplier_ID]],Supplier[],MATCH(Purchase[[#Headers],[Supplier_Name]],Supplier[#Headers],0),0)</f>
        <v>Schneider Electric</v>
      </c>
    </row>
    <row r="24" spans="1:14" x14ac:dyDescent="0.25">
      <c r="A24" t="s">
        <v>61</v>
      </c>
      <c r="B24" s="2">
        <v>45690</v>
      </c>
      <c r="C24" t="s">
        <v>62</v>
      </c>
      <c r="D24" t="s">
        <v>63</v>
      </c>
      <c r="E24" t="s">
        <v>16</v>
      </c>
      <c r="F24" t="s">
        <v>17</v>
      </c>
      <c r="G24">
        <v>299</v>
      </c>
      <c r="H24" s="3">
        <v>83059.86</v>
      </c>
      <c r="I24" s="3">
        <v>24834898.140000001</v>
      </c>
      <c r="J24" t="s">
        <v>32</v>
      </c>
      <c r="K24" s="2">
        <v>45764</v>
      </c>
      <c r="L24" s="3">
        <v>12657521.91</v>
      </c>
      <c r="M24" t="s">
        <v>215</v>
      </c>
      <c r="N24" t="str">
        <f>VLOOKUP(Purchase[[#This Row],[Supplier_ID]],Supplier[],MATCH(Purchase[[#Headers],[Supplier_Name]],Supplier[#Headers],0),0)</f>
        <v>Schneider Electric</v>
      </c>
    </row>
    <row r="25" spans="1:14" x14ac:dyDescent="0.25">
      <c r="A25" t="s">
        <v>64</v>
      </c>
      <c r="B25" s="2">
        <v>45832</v>
      </c>
      <c r="C25" t="s">
        <v>28</v>
      </c>
      <c r="D25" t="s">
        <v>29</v>
      </c>
      <c r="E25" t="s">
        <v>12</v>
      </c>
      <c r="F25" t="s">
        <v>13</v>
      </c>
      <c r="G25">
        <v>470</v>
      </c>
      <c r="H25" s="3">
        <v>218389.98</v>
      </c>
      <c r="I25" s="3">
        <v>102643290.59999999</v>
      </c>
      <c r="J25" t="s">
        <v>32</v>
      </c>
      <c r="K25" s="2">
        <v>45792</v>
      </c>
      <c r="L25" s="3">
        <v>26362806.469999999</v>
      </c>
      <c r="M25" t="s">
        <v>217</v>
      </c>
      <c r="N25" t="str">
        <f>VLOOKUP(Purchase[[#This Row],[Supplier_ID]],Supplier[],MATCH(Purchase[[#Headers],[Supplier_Name]],Supplier[#Headers],0),0)</f>
        <v>Hitachi</v>
      </c>
    </row>
    <row r="26" spans="1:14" x14ac:dyDescent="0.25">
      <c r="A26" t="s">
        <v>65</v>
      </c>
      <c r="B26" s="2">
        <v>45820</v>
      </c>
      <c r="C26" t="s">
        <v>62</v>
      </c>
      <c r="D26" t="s">
        <v>63</v>
      </c>
      <c r="E26" t="s">
        <v>12</v>
      </c>
      <c r="F26" t="s">
        <v>13</v>
      </c>
      <c r="G26">
        <v>211</v>
      </c>
      <c r="H26" s="3">
        <v>30366.59</v>
      </c>
      <c r="I26" s="3">
        <v>6407350.4900000002</v>
      </c>
      <c r="J26" t="s">
        <v>18</v>
      </c>
      <c r="K26" s="2">
        <v>45688</v>
      </c>
      <c r="L26" s="3">
        <v>32700994.949999999</v>
      </c>
      <c r="M26" t="s">
        <v>215</v>
      </c>
      <c r="N26" t="str">
        <f>VLOOKUP(Purchase[[#This Row],[Supplier_ID]],Supplier[],MATCH(Purchase[[#Headers],[Supplier_Name]],Supplier[#Headers],0),0)</f>
        <v>Hitachi</v>
      </c>
    </row>
    <row r="27" spans="1:14" x14ac:dyDescent="0.25">
      <c r="A27" t="s">
        <v>66</v>
      </c>
      <c r="B27" s="2">
        <v>45686</v>
      </c>
      <c r="C27" t="s">
        <v>20</v>
      </c>
      <c r="D27" t="s">
        <v>21</v>
      </c>
      <c r="E27" t="s">
        <v>22</v>
      </c>
      <c r="F27" t="s">
        <v>23</v>
      </c>
      <c r="G27">
        <v>116</v>
      </c>
      <c r="H27" s="3">
        <v>112953.58</v>
      </c>
      <c r="I27" s="3">
        <v>13102615.279999999</v>
      </c>
      <c r="J27" t="s">
        <v>18</v>
      </c>
      <c r="K27" s="2">
        <v>45689</v>
      </c>
      <c r="L27" s="3">
        <v>324155.8</v>
      </c>
      <c r="M27" t="s">
        <v>215</v>
      </c>
      <c r="N27" t="str">
        <f>VLOOKUP(Purchase[[#This Row],[Supplier_ID]],Supplier[],MATCH(Purchase[[#Headers],[Supplier_Name]],Supplier[#Headers],0),0)</f>
        <v>Siemens India</v>
      </c>
    </row>
    <row r="28" spans="1:14" x14ac:dyDescent="0.25">
      <c r="A28" t="s">
        <v>67</v>
      </c>
      <c r="B28" s="2">
        <v>45795</v>
      </c>
      <c r="C28" t="s">
        <v>28</v>
      </c>
      <c r="D28" t="s">
        <v>29</v>
      </c>
      <c r="E28" t="s">
        <v>22</v>
      </c>
      <c r="F28" t="s">
        <v>23</v>
      </c>
      <c r="G28">
        <v>10</v>
      </c>
      <c r="H28" s="3">
        <v>143861.98000000001</v>
      </c>
      <c r="I28" s="3">
        <v>1438619.8</v>
      </c>
      <c r="J28" t="s">
        <v>14</v>
      </c>
      <c r="K28" s="2">
        <v>45777</v>
      </c>
      <c r="L28" s="3">
        <v>45727340.140000001</v>
      </c>
      <c r="M28" t="s">
        <v>215</v>
      </c>
      <c r="N28" t="str">
        <f>VLOOKUP(Purchase[[#This Row],[Supplier_ID]],Supplier[],MATCH(Purchase[[#Headers],[Supplier_Name]],Supplier[#Headers],0),0)</f>
        <v>Siemens India</v>
      </c>
    </row>
    <row r="29" spans="1:14" x14ac:dyDescent="0.25">
      <c r="A29" t="s">
        <v>68</v>
      </c>
      <c r="B29" s="2">
        <v>45754</v>
      </c>
      <c r="C29" t="s">
        <v>10</v>
      </c>
      <c r="D29" t="s">
        <v>11</v>
      </c>
      <c r="E29" t="s">
        <v>22</v>
      </c>
      <c r="F29" t="s">
        <v>23</v>
      </c>
      <c r="G29">
        <v>457</v>
      </c>
      <c r="H29" s="3">
        <v>55948.41</v>
      </c>
      <c r="I29" s="3">
        <v>25568423.370000001</v>
      </c>
      <c r="J29" t="s">
        <v>14</v>
      </c>
      <c r="K29" s="2">
        <v>45738</v>
      </c>
      <c r="L29" s="3">
        <v>11721344.640000001</v>
      </c>
      <c r="M29" t="s">
        <v>215</v>
      </c>
      <c r="N29" t="str">
        <f>VLOOKUP(Purchase[[#This Row],[Supplier_ID]],Supplier[],MATCH(Purchase[[#Headers],[Supplier_Name]],Supplier[#Headers],0),0)</f>
        <v>Siemens India</v>
      </c>
    </row>
    <row r="30" spans="1:14" x14ac:dyDescent="0.25">
      <c r="A30" t="s">
        <v>69</v>
      </c>
      <c r="B30" s="2">
        <v>45689</v>
      </c>
      <c r="C30" t="s">
        <v>46</v>
      </c>
      <c r="D30" t="s">
        <v>47</v>
      </c>
      <c r="E30" t="s">
        <v>30</v>
      </c>
      <c r="F30" t="s">
        <v>31</v>
      </c>
      <c r="G30">
        <v>318</v>
      </c>
      <c r="H30" s="3">
        <v>94220.04</v>
      </c>
      <c r="I30" s="3">
        <v>29961972.719999999</v>
      </c>
      <c r="J30" t="s">
        <v>14</v>
      </c>
      <c r="K30" s="2">
        <v>45711</v>
      </c>
      <c r="L30" s="3">
        <v>30064616.25</v>
      </c>
      <c r="M30" t="s">
        <v>217</v>
      </c>
      <c r="N30" t="str">
        <f>VLOOKUP(Purchase[[#This Row],[Supplier_ID]],Supplier[],MATCH(Purchase[[#Headers],[Supplier_Name]],Supplier[#Headers],0),0)</f>
        <v>BHP Supplies</v>
      </c>
    </row>
    <row r="31" spans="1:14" x14ac:dyDescent="0.25">
      <c r="A31" t="s">
        <v>70</v>
      </c>
      <c r="B31" s="2">
        <v>45694</v>
      </c>
      <c r="C31" t="s">
        <v>62</v>
      </c>
      <c r="D31" t="s">
        <v>63</v>
      </c>
      <c r="E31" t="s">
        <v>12</v>
      </c>
      <c r="F31" t="s">
        <v>13</v>
      </c>
      <c r="G31">
        <v>257</v>
      </c>
      <c r="H31" s="3">
        <v>81403.820000000007</v>
      </c>
      <c r="I31" s="3">
        <v>20920781.739999998</v>
      </c>
      <c r="J31" t="s">
        <v>14</v>
      </c>
      <c r="K31" s="2">
        <v>45712</v>
      </c>
      <c r="L31" s="3">
        <v>46515670.020000003</v>
      </c>
      <c r="M31" t="s">
        <v>213</v>
      </c>
      <c r="N31" t="str">
        <f>VLOOKUP(Purchase[[#This Row],[Supplier_ID]],Supplier[],MATCH(Purchase[[#Headers],[Supplier_Name]],Supplier[#Headers],0),0)</f>
        <v>Hitachi</v>
      </c>
    </row>
    <row r="32" spans="1:14" x14ac:dyDescent="0.25">
      <c r="A32" t="s">
        <v>71</v>
      </c>
      <c r="B32" s="2">
        <v>45835</v>
      </c>
      <c r="C32" t="s">
        <v>46</v>
      </c>
      <c r="D32" t="s">
        <v>47</v>
      </c>
      <c r="E32" t="s">
        <v>50</v>
      </c>
      <c r="F32" t="s">
        <v>51</v>
      </c>
      <c r="G32">
        <v>145</v>
      </c>
      <c r="H32" s="3">
        <v>122262.38</v>
      </c>
      <c r="I32" s="3">
        <v>17728045.100000001</v>
      </c>
      <c r="J32" t="s">
        <v>14</v>
      </c>
      <c r="K32" s="2">
        <v>45794</v>
      </c>
      <c r="L32" s="3">
        <v>43319753.689999998</v>
      </c>
      <c r="M32" t="s">
        <v>213</v>
      </c>
      <c r="N32" t="str">
        <f>VLOOKUP(Purchase[[#This Row],[Supplier_ID]],Supplier[],MATCH(Purchase[[#Headers],[Supplier_Name]],Supplier[#Headers],0),0)</f>
        <v>DP World Industrial</v>
      </c>
    </row>
    <row r="33" spans="1:14" x14ac:dyDescent="0.25">
      <c r="A33" t="s">
        <v>72</v>
      </c>
      <c r="B33" s="2">
        <v>45750</v>
      </c>
      <c r="C33" t="s">
        <v>28</v>
      </c>
      <c r="D33" t="s">
        <v>29</v>
      </c>
      <c r="E33" t="s">
        <v>38</v>
      </c>
      <c r="F33" t="s">
        <v>39</v>
      </c>
      <c r="G33">
        <v>496</v>
      </c>
      <c r="H33" s="3">
        <v>238245.13</v>
      </c>
      <c r="I33" s="3">
        <v>118169584.48</v>
      </c>
      <c r="J33" t="s">
        <v>14</v>
      </c>
      <c r="K33" s="2">
        <v>45817</v>
      </c>
      <c r="L33" s="3">
        <v>13071416.289999999</v>
      </c>
      <c r="M33" t="s">
        <v>217</v>
      </c>
      <c r="N33" t="str">
        <f>VLOOKUP(Purchase[[#This Row],[Supplier_ID]],Supplier[],MATCH(Purchase[[#Headers],[Supplier_Name]],Supplier[#Headers],0),0)</f>
        <v>Shanghai Solar Tech</v>
      </c>
    </row>
    <row r="34" spans="1:14" x14ac:dyDescent="0.25">
      <c r="A34" t="s">
        <v>73</v>
      </c>
      <c r="B34" s="2">
        <v>45681</v>
      </c>
      <c r="C34" t="s">
        <v>46</v>
      </c>
      <c r="D34" t="s">
        <v>55</v>
      </c>
      <c r="E34" t="s">
        <v>16</v>
      </c>
      <c r="F34" t="s">
        <v>17</v>
      </c>
      <c r="G34">
        <v>162</v>
      </c>
      <c r="H34" s="3">
        <v>244732.79999999999</v>
      </c>
      <c r="I34" s="3">
        <v>39646713.600000001</v>
      </c>
      <c r="J34" t="s">
        <v>32</v>
      </c>
      <c r="K34" s="2">
        <v>45664</v>
      </c>
      <c r="L34" s="3">
        <v>5378425.1100000003</v>
      </c>
      <c r="M34" t="s">
        <v>217</v>
      </c>
      <c r="N34" t="str">
        <f>VLOOKUP(Purchase[[#This Row],[Supplier_ID]],Supplier[],MATCH(Purchase[[#Headers],[Supplier_Name]],Supplier[#Headers],0),0)</f>
        <v>Schneider Electric</v>
      </c>
    </row>
    <row r="35" spans="1:14" x14ac:dyDescent="0.25">
      <c r="A35" t="s">
        <v>74</v>
      </c>
      <c r="B35" s="2">
        <v>45794</v>
      </c>
      <c r="C35" t="s">
        <v>10</v>
      </c>
      <c r="D35" t="s">
        <v>41</v>
      </c>
      <c r="E35" t="s">
        <v>38</v>
      </c>
      <c r="F35" t="s">
        <v>39</v>
      </c>
      <c r="G35">
        <v>192</v>
      </c>
      <c r="H35" s="3">
        <v>194124.79</v>
      </c>
      <c r="I35" s="3">
        <v>37271959.68</v>
      </c>
      <c r="J35" t="s">
        <v>32</v>
      </c>
      <c r="K35" s="2">
        <v>45844</v>
      </c>
      <c r="L35" s="3">
        <v>31035404.199999999</v>
      </c>
      <c r="M35" t="s">
        <v>215</v>
      </c>
      <c r="N35" t="str">
        <f>VLOOKUP(Purchase[[#This Row],[Supplier_ID]],Supplier[],MATCH(Purchase[[#Headers],[Supplier_Name]],Supplier[#Headers],0),0)</f>
        <v>Shanghai Solar Tech</v>
      </c>
    </row>
    <row r="36" spans="1:14" x14ac:dyDescent="0.25">
      <c r="A36" t="s">
        <v>75</v>
      </c>
      <c r="B36" s="2">
        <v>45707</v>
      </c>
      <c r="C36" t="s">
        <v>28</v>
      </c>
      <c r="D36" t="s">
        <v>36</v>
      </c>
      <c r="E36" t="s">
        <v>50</v>
      </c>
      <c r="F36" t="s">
        <v>51</v>
      </c>
      <c r="G36">
        <v>124</v>
      </c>
      <c r="H36" s="3">
        <v>155240.91</v>
      </c>
      <c r="I36" s="3">
        <v>19249872.84</v>
      </c>
      <c r="J36" t="s">
        <v>14</v>
      </c>
      <c r="K36" s="2">
        <v>45672</v>
      </c>
      <c r="L36" s="3">
        <v>18498556.82</v>
      </c>
      <c r="M36" t="s">
        <v>215</v>
      </c>
      <c r="N36" t="str">
        <f>VLOOKUP(Purchase[[#This Row],[Supplier_ID]],Supplier[],MATCH(Purchase[[#Headers],[Supplier_Name]],Supplier[#Headers],0),0)</f>
        <v>DP World Industrial</v>
      </c>
    </row>
    <row r="37" spans="1:14" x14ac:dyDescent="0.25">
      <c r="A37" t="s">
        <v>76</v>
      </c>
      <c r="B37" s="2">
        <v>45665</v>
      </c>
      <c r="C37" t="s">
        <v>62</v>
      </c>
      <c r="D37" t="s">
        <v>77</v>
      </c>
      <c r="E37" t="s">
        <v>38</v>
      </c>
      <c r="F37" t="s">
        <v>39</v>
      </c>
      <c r="G37">
        <v>275</v>
      </c>
      <c r="H37" s="3">
        <v>125731.55</v>
      </c>
      <c r="I37" s="3">
        <v>34576176.25</v>
      </c>
      <c r="J37" t="s">
        <v>14</v>
      </c>
      <c r="K37" s="2">
        <v>45674</v>
      </c>
      <c r="L37" s="3">
        <v>10278424.23</v>
      </c>
      <c r="M37" t="s">
        <v>213</v>
      </c>
      <c r="N37" t="str">
        <f>VLOOKUP(Purchase[[#This Row],[Supplier_ID]],Supplier[],MATCH(Purchase[[#Headers],[Supplier_Name]],Supplier[#Headers],0),0)</f>
        <v>Shanghai Solar Tech</v>
      </c>
    </row>
    <row r="38" spans="1:14" x14ac:dyDescent="0.25">
      <c r="A38" t="s">
        <v>78</v>
      </c>
      <c r="B38" s="2">
        <v>45746</v>
      </c>
      <c r="C38" t="s">
        <v>10</v>
      </c>
      <c r="D38" t="s">
        <v>41</v>
      </c>
      <c r="E38" t="s">
        <v>30</v>
      </c>
      <c r="F38" t="s">
        <v>31</v>
      </c>
      <c r="G38">
        <v>109</v>
      </c>
      <c r="H38" s="3">
        <v>174667.88</v>
      </c>
      <c r="I38" s="3">
        <v>19038798.920000002</v>
      </c>
      <c r="J38" t="s">
        <v>18</v>
      </c>
      <c r="K38" s="2">
        <v>45672</v>
      </c>
      <c r="L38" s="3">
        <v>30011226.129999999</v>
      </c>
      <c r="M38" t="s">
        <v>217</v>
      </c>
      <c r="N38" t="str">
        <f>VLOOKUP(Purchase[[#This Row],[Supplier_ID]],Supplier[],MATCH(Purchase[[#Headers],[Supplier_Name]],Supplier[#Headers],0),0)</f>
        <v>BHP Supplies</v>
      </c>
    </row>
    <row r="39" spans="1:14" x14ac:dyDescent="0.25">
      <c r="A39" t="s">
        <v>79</v>
      </c>
      <c r="B39" s="2">
        <v>45716</v>
      </c>
      <c r="C39" t="s">
        <v>46</v>
      </c>
      <c r="D39" t="s">
        <v>47</v>
      </c>
      <c r="E39" t="s">
        <v>30</v>
      </c>
      <c r="F39" t="s">
        <v>31</v>
      </c>
      <c r="G39">
        <v>51</v>
      </c>
      <c r="H39" s="3">
        <v>59013.27</v>
      </c>
      <c r="I39" s="3">
        <v>3009676.77</v>
      </c>
      <c r="J39" t="s">
        <v>18</v>
      </c>
      <c r="K39" s="2">
        <v>45715</v>
      </c>
      <c r="L39" s="3">
        <v>40755711.630000003</v>
      </c>
      <c r="M39" t="s">
        <v>213</v>
      </c>
      <c r="N39" t="str">
        <f>VLOOKUP(Purchase[[#This Row],[Supplier_ID]],Supplier[],MATCH(Purchase[[#Headers],[Supplier_Name]],Supplier[#Headers],0),0)</f>
        <v>BHP Supplies</v>
      </c>
    </row>
    <row r="40" spans="1:14" x14ac:dyDescent="0.25">
      <c r="A40" t="s">
        <v>80</v>
      </c>
      <c r="B40" s="2">
        <v>45814</v>
      </c>
      <c r="C40" t="s">
        <v>25</v>
      </c>
      <c r="D40" t="s">
        <v>57</v>
      </c>
      <c r="E40" t="s">
        <v>38</v>
      </c>
      <c r="F40" t="s">
        <v>39</v>
      </c>
      <c r="G40">
        <v>257</v>
      </c>
      <c r="H40" s="3">
        <v>157896.26999999999</v>
      </c>
      <c r="I40" s="3">
        <v>40579341.390000001</v>
      </c>
      <c r="J40" t="s">
        <v>14</v>
      </c>
      <c r="K40" s="2">
        <v>45767</v>
      </c>
      <c r="L40" s="3">
        <v>33948155.030000001</v>
      </c>
      <c r="M40" t="s">
        <v>215</v>
      </c>
      <c r="N40" t="str">
        <f>VLOOKUP(Purchase[[#This Row],[Supplier_ID]],Supplier[],MATCH(Purchase[[#Headers],[Supplier_Name]],Supplier[#Headers],0),0)</f>
        <v>Shanghai Solar Tech</v>
      </c>
    </row>
    <row r="41" spans="1:14" x14ac:dyDescent="0.25">
      <c r="A41" t="s">
        <v>81</v>
      </c>
      <c r="B41" s="2">
        <v>45688</v>
      </c>
      <c r="C41" t="s">
        <v>62</v>
      </c>
      <c r="D41" t="s">
        <v>63</v>
      </c>
      <c r="E41" t="s">
        <v>50</v>
      </c>
      <c r="F41" t="s">
        <v>51</v>
      </c>
      <c r="G41">
        <v>53</v>
      </c>
      <c r="H41" s="3">
        <v>209488.96</v>
      </c>
      <c r="I41" s="3">
        <v>11102914.880000001</v>
      </c>
      <c r="J41" t="s">
        <v>18</v>
      </c>
      <c r="K41" s="2">
        <v>45821</v>
      </c>
      <c r="L41" s="3">
        <v>15678567.119999999</v>
      </c>
      <c r="M41" t="s">
        <v>215</v>
      </c>
      <c r="N41" t="str">
        <f>VLOOKUP(Purchase[[#This Row],[Supplier_ID]],Supplier[],MATCH(Purchase[[#Headers],[Supplier_Name]],Supplier[#Headers],0),0)</f>
        <v>DP World Industrial</v>
      </c>
    </row>
    <row r="42" spans="1:14" x14ac:dyDescent="0.25">
      <c r="A42" t="s">
        <v>82</v>
      </c>
      <c r="B42" s="2">
        <v>45820</v>
      </c>
      <c r="C42" t="s">
        <v>46</v>
      </c>
      <c r="D42" t="s">
        <v>55</v>
      </c>
      <c r="E42" t="s">
        <v>12</v>
      </c>
      <c r="F42" t="s">
        <v>13</v>
      </c>
      <c r="G42">
        <v>465</v>
      </c>
      <c r="H42" s="3">
        <v>48737.82</v>
      </c>
      <c r="I42" s="3">
        <v>22663086.300000001</v>
      </c>
      <c r="J42" t="s">
        <v>18</v>
      </c>
      <c r="K42" s="2">
        <v>45671</v>
      </c>
      <c r="L42" s="3">
        <v>39784530.289999999</v>
      </c>
      <c r="M42" t="s">
        <v>217</v>
      </c>
      <c r="N42" t="str">
        <f>VLOOKUP(Purchase[[#This Row],[Supplier_ID]],Supplier[],MATCH(Purchase[[#Headers],[Supplier_Name]],Supplier[#Headers],0),0)</f>
        <v>Hitachi</v>
      </c>
    </row>
    <row r="43" spans="1:14" x14ac:dyDescent="0.25">
      <c r="A43" t="s">
        <v>83</v>
      </c>
      <c r="B43" s="2">
        <v>45679</v>
      </c>
      <c r="C43" t="s">
        <v>20</v>
      </c>
      <c r="D43" t="s">
        <v>43</v>
      </c>
      <c r="E43" t="s">
        <v>12</v>
      </c>
      <c r="F43" t="s">
        <v>13</v>
      </c>
      <c r="G43">
        <v>215</v>
      </c>
      <c r="H43" s="3">
        <v>187121.41</v>
      </c>
      <c r="I43" s="3">
        <v>40231103.149999999</v>
      </c>
      <c r="J43" t="s">
        <v>32</v>
      </c>
      <c r="K43" s="2">
        <v>45786</v>
      </c>
      <c r="L43" s="3">
        <v>3257226.82</v>
      </c>
      <c r="M43" t="s">
        <v>215</v>
      </c>
      <c r="N43" t="str">
        <f>VLOOKUP(Purchase[[#This Row],[Supplier_ID]],Supplier[],MATCH(Purchase[[#Headers],[Supplier_Name]],Supplier[#Headers],0),0)</f>
        <v>Hitachi</v>
      </c>
    </row>
    <row r="44" spans="1:14" x14ac:dyDescent="0.25">
      <c r="A44" t="s">
        <v>84</v>
      </c>
      <c r="B44" s="2">
        <v>45777</v>
      </c>
      <c r="C44" t="s">
        <v>25</v>
      </c>
      <c r="D44" t="s">
        <v>26</v>
      </c>
      <c r="E44" t="s">
        <v>38</v>
      </c>
      <c r="F44" t="s">
        <v>39</v>
      </c>
      <c r="G44">
        <v>24</v>
      </c>
      <c r="H44" s="3">
        <v>42031.92</v>
      </c>
      <c r="I44" s="3">
        <v>1008766.08</v>
      </c>
      <c r="J44" t="s">
        <v>32</v>
      </c>
      <c r="K44" s="2">
        <v>45866</v>
      </c>
      <c r="L44" s="3">
        <v>19825305.960000001</v>
      </c>
      <c r="M44" t="s">
        <v>217</v>
      </c>
      <c r="N44" t="str">
        <f>VLOOKUP(Purchase[[#This Row],[Supplier_ID]],Supplier[],MATCH(Purchase[[#Headers],[Supplier_Name]],Supplier[#Headers],0),0)</f>
        <v>Shanghai Solar Tech</v>
      </c>
    </row>
    <row r="45" spans="1:14" x14ac:dyDescent="0.25">
      <c r="A45" t="s">
        <v>85</v>
      </c>
      <c r="B45" s="2">
        <v>45798</v>
      </c>
      <c r="C45" t="s">
        <v>25</v>
      </c>
      <c r="D45" t="s">
        <v>57</v>
      </c>
      <c r="E45" t="s">
        <v>50</v>
      </c>
      <c r="F45" t="s">
        <v>51</v>
      </c>
      <c r="G45">
        <v>489</v>
      </c>
      <c r="H45" s="3">
        <v>90849.84</v>
      </c>
      <c r="I45" s="3">
        <v>44425571.759999998</v>
      </c>
      <c r="J45" t="s">
        <v>32</v>
      </c>
      <c r="K45" s="2">
        <v>45702</v>
      </c>
      <c r="L45" s="3">
        <v>31995179.09</v>
      </c>
      <c r="M45" t="s">
        <v>215</v>
      </c>
      <c r="N45" t="str">
        <f>VLOOKUP(Purchase[[#This Row],[Supplier_ID]],Supplier[],MATCH(Purchase[[#Headers],[Supplier_Name]],Supplier[#Headers],0),0)</f>
        <v>DP World Industrial</v>
      </c>
    </row>
    <row r="46" spans="1:14" x14ac:dyDescent="0.25">
      <c r="A46" t="s">
        <v>86</v>
      </c>
      <c r="B46" s="2">
        <v>45824</v>
      </c>
      <c r="C46" t="s">
        <v>25</v>
      </c>
      <c r="D46" t="s">
        <v>26</v>
      </c>
      <c r="E46" t="s">
        <v>22</v>
      </c>
      <c r="F46" t="s">
        <v>23</v>
      </c>
      <c r="G46">
        <v>419</v>
      </c>
      <c r="H46" s="3">
        <v>242868.09</v>
      </c>
      <c r="I46" s="3">
        <v>101761729.70999999</v>
      </c>
      <c r="J46" t="s">
        <v>14</v>
      </c>
      <c r="K46" s="2">
        <v>45830</v>
      </c>
      <c r="L46" s="3">
        <v>8268096.9800000004</v>
      </c>
      <c r="M46" t="s">
        <v>217</v>
      </c>
      <c r="N46" t="str">
        <f>VLOOKUP(Purchase[[#This Row],[Supplier_ID]],Supplier[],MATCH(Purchase[[#Headers],[Supplier_Name]],Supplier[#Headers],0),0)</f>
        <v>Siemens India</v>
      </c>
    </row>
    <row r="47" spans="1:14" x14ac:dyDescent="0.25">
      <c r="A47" t="s">
        <v>87</v>
      </c>
      <c r="B47" s="2">
        <v>45712</v>
      </c>
      <c r="C47" t="s">
        <v>28</v>
      </c>
      <c r="D47" t="s">
        <v>29</v>
      </c>
      <c r="E47" t="s">
        <v>12</v>
      </c>
      <c r="F47" t="s">
        <v>13</v>
      </c>
      <c r="G47">
        <v>456</v>
      </c>
      <c r="H47" s="3">
        <v>52727.33</v>
      </c>
      <c r="I47" s="3">
        <v>24043662.48</v>
      </c>
      <c r="J47" t="s">
        <v>14</v>
      </c>
      <c r="K47" s="2">
        <v>45732</v>
      </c>
      <c r="L47" s="3">
        <v>20548467.18</v>
      </c>
      <c r="M47" t="s">
        <v>213</v>
      </c>
      <c r="N47" t="str">
        <f>VLOOKUP(Purchase[[#This Row],[Supplier_ID]],Supplier[],MATCH(Purchase[[#Headers],[Supplier_Name]],Supplier[#Headers],0),0)</f>
        <v>Hitachi</v>
      </c>
    </row>
    <row r="48" spans="1:14" x14ac:dyDescent="0.25">
      <c r="A48" t="s">
        <v>88</v>
      </c>
      <c r="B48" s="2">
        <v>45808</v>
      </c>
      <c r="C48" t="s">
        <v>10</v>
      </c>
      <c r="D48" t="s">
        <v>11</v>
      </c>
      <c r="E48" t="s">
        <v>30</v>
      </c>
      <c r="F48" t="s">
        <v>31</v>
      </c>
      <c r="G48">
        <v>266</v>
      </c>
      <c r="H48" s="3">
        <v>63932.15</v>
      </c>
      <c r="I48" s="3">
        <v>17005951.899999999</v>
      </c>
      <c r="J48" t="s">
        <v>18</v>
      </c>
      <c r="K48" s="2">
        <v>45833</v>
      </c>
      <c r="L48" s="3">
        <v>15449028.560000001</v>
      </c>
      <c r="M48" t="s">
        <v>215</v>
      </c>
      <c r="N48" t="str">
        <f>VLOOKUP(Purchase[[#This Row],[Supplier_ID]],Supplier[],MATCH(Purchase[[#Headers],[Supplier_Name]],Supplier[#Headers],0),0)</f>
        <v>BHP Supplies</v>
      </c>
    </row>
    <row r="49" spans="1:14" x14ac:dyDescent="0.25">
      <c r="A49" t="s">
        <v>89</v>
      </c>
      <c r="B49" s="2">
        <v>45748</v>
      </c>
      <c r="C49" t="s">
        <v>10</v>
      </c>
      <c r="D49" t="s">
        <v>41</v>
      </c>
      <c r="E49" t="s">
        <v>38</v>
      </c>
      <c r="F49" t="s">
        <v>39</v>
      </c>
      <c r="G49">
        <v>41</v>
      </c>
      <c r="H49" s="3">
        <v>227954.18</v>
      </c>
      <c r="I49" s="3">
        <v>9346121.3800000008</v>
      </c>
      <c r="J49" t="s">
        <v>18</v>
      </c>
      <c r="K49" s="2">
        <v>45742</v>
      </c>
      <c r="L49" s="3">
        <v>37292344.490000002</v>
      </c>
      <c r="M49" t="s">
        <v>213</v>
      </c>
      <c r="N49" t="str">
        <f>VLOOKUP(Purchase[[#This Row],[Supplier_ID]],Supplier[],MATCH(Purchase[[#Headers],[Supplier_Name]],Supplier[#Headers],0),0)</f>
        <v>Shanghai Solar Tech</v>
      </c>
    </row>
    <row r="50" spans="1:14" x14ac:dyDescent="0.25">
      <c r="A50" t="s">
        <v>90</v>
      </c>
      <c r="B50" s="2">
        <v>45792</v>
      </c>
      <c r="C50" t="s">
        <v>46</v>
      </c>
      <c r="D50" t="s">
        <v>47</v>
      </c>
      <c r="E50" t="s">
        <v>16</v>
      </c>
      <c r="F50" t="s">
        <v>17</v>
      </c>
      <c r="G50">
        <v>76</v>
      </c>
      <c r="H50" s="3">
        <v>135297.12</v>
      </c>
      <c r="I50" s="3">
        <v>10282581.119999999</v>
      </c>
      <c r="J50" t="s">
        <v>32</v>
      </c>
      <c r="K50" s="2">
        <v>45769</v>
      </c>
      <c r="L50" s="3">
        <v>20880624.57</v>
      </c>
      <c r="M50" t="s">
        <v>213</v>
      </c>
      <c r="N50" t="str">
        <f>VLOOKUP(Purchase[[#This Row],[Supplier_ID]],Supplier[],MATCH(Purchase[[#Headers],[Supplier_Name]],Supplier[#Headers],0),0)</f>
        <v>Schneider Electric</v>
      </c>
    </row>
    <row r="51" spans="1:14" x14ac:dyDescent="0.25">
      <c r="A51" t="s">
        <v>91</v>
      </c>
      <c r="B51" s="2">
        <v>45696</v>
      </c>
      <c r="C51" t="s">
        <v>20</v>
      </c>
      <c r="D51" t="s">
        <v>43</v>
      </c>
      <c r="E51" t="s">
        <v>38</v>
      </c>
      <c r="F51" t="s">
        <v>39</v>
      </c>
      <c r="G51">
        <v>321</v>
      </c>
      <c r="H51" s="3">
        <v>5963.46</v>
      </c>
      <c r="I51" s="3">
        <v>1914270.66</v>
      </c>
      <c r="J51" t="s">
        <v>14</v>
      </c>
      <c r="K51" s="2">
        <v>45827</v>
      </c>
      <c r="L51" s="3">
        <v>9940359.3499999996</v>
      </c>
      <c r="M51" t="s">
        <v>217</v>
      </c>
      <c r="N51" t="str">
        <f>VLOOKUP(Purchase[[#This Row],[Supplier_ID]],Supplier[],MATCH(Purchase[[#Headers],[Supplier_Name]],Supplier[#Headers],0),0)</f>
        <v>Shanghai Solar Tech</v>
      </c>
    </row>
    <row r="52" spans="1:14" x14ac:dyDescent="0.25">
      <c r="A52" t="s">
        <v>92</v>
      </c>
      <c r="B52" s="2">
        <v>45673</v>
      </c>
      <c r="C52" t="s">
        <v>25</v>
      </c>
      <c r="D52" t="s">
        <v>57</v>
      </c>
      <c r="E52" t="s">
        <v>16</v>
      </c>
      <c r="F52" t="s">
        <v>17</v>
      </c>
      <c r="G52">
        <v>381</v>
      </c>
      <c r="H52" s="3">
        <v>34482.47</v>
      </c>
      <c r="I52" s="3">
        <v>13137821.07</v>
      </c>
      <c r="J52" t="s">
        <v>18</v>
      </c>
      <c r="K52" s="2">
        <v>45766</v>
      </c>
      <c r="L52" s="3">
        <v>10262991.83</v>
      </c>
      <c r="M52" t="s">
        <v>215</v>
      </c>
      <c r="N52" t="str">
        <f>VLOOKUP(Purchase[[#This Row],[Supplier_ID]],Supplier[],MATCH(Purchase[[#Headers],[Supplier_Name]],Supplier[#Headers],0),0)</f>
        <v>Schneider Electric</v>
      </c>
    </row>
    <row r="53" spans="1:14" x14ac:dyDescent="0.25">
      <c r="A53" t="s">
        <v>93</v>
      </c>
      <c r="B53" s="2">
        <v>45721</v>
      </c>
      <c r="C53" t="s">
        <v>46</v>
      </c>
      <c r="D53" t="s">
        <v>47</v>
      </c>
      <c r="E53" t="s">
        <v>22</v>
      </c>
      <c r="F53" t="s">
        <v>23</v>
      </c>
      <c r="G53">
        <v>462</v>
      </c>
      <c r="H53" s="3">
        <v>142272.54999999999</v>
      </c>
      <c r="I53" s="3">
        <v>65729918.100000001</v>
      </c>
      <c r="J53" t="s">
        <v>14</v>
      </c>
      <c r="K53" s="2">
        <v>45774</v>
      </c>
      <c r="L53" s="3">
        <v>45091366.020000003</v>
      </c>
      <c r="M53" t="s">
        <v>213</v>
      </c>
      <c r="N53" t="str">
        <f>VLOOKUP(Purchase[[#This Row],[Supplier_ID]],Supplier[],MATCH(Purchase[[#Headers],[Supplier_Name]],Supplier[#Headers],0),0)</f>
        <v>Siemens India</v>
      </c>
    </row>
    <row r="54" spans="1:14" x14ac:dyDescent="0.25">
      <c r="A54" t="s">
        <v>94</v>
      </c>
      <c r="B54" s="2">
        <v>45665</v>
      </c>
      <c r="C54" t="s">
        <v>10</v>
      </c>
      <c r="D54" t="s">
        <v>11</v>
      </c>
      <c r="E54" t="s">
        <v>22</v>
      </c>
      <c r="F54" t="s">
        <v>23</v>
      </c>
      <c r="G54">
        <v>269</v>
      </c>
      <c r="H54" s="3">
        <v>115783.1</v>
      </c>
      <c r="I54" s="3">
        <v>31145653.899999999</v>
      </c>
      <c r="J54" t="s">
        <v>14</v>
      </c>
      <c r="K54" s="2">
        <v>45692</v>
      </c>
      <c r="L54" s="3">
        <v>41036392.200000003</v>
      </c>
      <c r="M54" t="s">
        <v>213</v>
      </c>
      <c r="N54" t="str">
        <f>VLOOKUP(Purchase[[#This Row],[Supplier_ID]],Supplier[],MATCH(Purchase[[#Headers],[Supplier_Name]],Supplier[#Headers],0),0)</f>
        <v>Siemens India</v>
      </c>
    </row>
    <row r="55" spans="1:14" x14ac:dyDescent="0.25">
      <c r="A55" t="s">
        <v>95</v>
      </c>
      <c r="B55" s="2">
        <v>45709</v>
      </c>
      <c r="C55" t="s">
        <v>62</v>
      </c>
      <c r="D55" t="s">
        <v>63</v>
      </c>
      <c r="E55" t="s">
        <v>16</v>
      </c>
      <c r="F55" t="s">
        <v>17</v>
      </c>
      <c r="G55">
        <v>268</v>
      </c>
      <c r="H55" s="3">
        <v>153503.73000000001</v>
      </c>
      <c r="I55" s="3">
        <v>41138999.640000001</v>
      </c>
      <c r="J55" t="s">
        <v>32</v>
      </c>
      <c r="K55" s="2">
        <v>45810</v>
      </c>
      <c r="L55" s="3">
        <v>44153613.530000001</v>
      </c>
      <c r="M55" t="s">
        <v>213</v>
      </c>
      <c r="N55" t="str">
        <f>VLOOKUP(Purchase[[#This Row],[Supplier_ID]],Supplier[],MATCH(Purchase[[#Headers],[Supplier_Name]],Supplier[#Headers],0),0)</f>
        <v>Schneider Electric</v>
      </c>
    </row>
    <row r="56" spans="1:14" x14ac:dyDescent="0.25">
      <c r="A56" t="s">
        <v>96</v>
      </c>
      <c r="B56" s="2">
        <v>45787</v>
      </c>
      <c r="C56" t="s">
        <v>10</v>
      </c>
      <c r="D56" t="s">
        <v>41</v>
      </c>
      <c r="E56" t="s">
        <v>16</v>
      </c>
      <c r="F56" t="s">
        <v>17</v>
      </c>
      <c r="G56">
        <v>283</v>
      </c>
      <c r="H56" s="3">
        <v>202803.72</v>
      </c>
      <c r="I56" s="3">
        <v>57393452.759999998</v>
      </c>
      <c r="J56" t="s">
        <v>14</v>
      </c>
      <c r="K56" s="2">
        <v>45860</v>
      </c>
      <c r="L56" s="3">
        <v>8210974.5099999998</v>
      </c>
      <c r="M56" t="s">
        <v>215</v>
      </c>
      <c r="N56" t="str">
        <f>VLOOKUP(Purchase[[#This Row],[Supplier_ID]],Supplier[],MATCH(Purchase[[#Headers],[Supplier_Name]],Supplier[#Headers],0),0)</f>
        <v>Schneider Electric</v>
      </c>
    </row>
    <row r="57" spans="1:14" x14ac:dyDescent="0.25">
      <c r="A57" t="s">
        <v>97</v>
      </c>
      <c r="B57" s="2">
        <v>45772</v>
      </c>
      <c r="C57" t="s">
        <v>46</v>
      </c>
      <c r="D57" t="s">
        <v>47</v>
      </c>
      <c r="E57" t="s">
        <v>16</v>
      </c>
      <c r="F57" t="s">
        <v>17</v>
      </c>
      <c r="G57">
        <v>467</v>
      </c>
      <c r="H57" s="3">
        <v>236100.42</v>
      </c>
      <c r="I57" s="3">
        <v>110258896.14</v>
      </c>
      <c r="J57" t="s">
        <v>14</v>
      </c>
      <c r="K57" s="2">
        <v>45676</v>
      </c>
      <c r="L57" s="3">
        <v>27622238.02</v>
      </c>
      <c r="M57" t="s">
        <v>217</v>
      </c>
      <c r="N57" t="str">
        <f>VLOOKUP(Purchase[[#This Row],[Supplier_ID]],Supplier[],MATCH(Purchase[[#Headers],[Supplier_Name]],Supplier[#Headers],0),0)</f>
        <v>Schneider Electric</v>
      </c>
    </row>
    <row r="58" spans="1:14" x14ac:dyDescent="0.25">
      <c r="A58" t="s">
        <v>98</v>
      </c>
      <c r="B58" s="2">
        <v>45829</v>
      </c>
      <c r="C58" t="s">
        <v>62</v>
      </c>
      <c r="D58" t="s">
        <v>77</v>
      </c>
      <c r="E58" t="s">
        <v>12</v>
      </c>
      <c r="F58" t="s">
        <v>13</v>
      </c>
      <c r="G58">
        <v>236</v>
      </c>
      <c r="H58" s="3">
        <v>82415.05</v>
      </c>
      <c r="I58" s="3">
        <v>19449951.800000001</v>
      </c>
      <c r="J58" t="s">
        <v>14</v>
      </c>
      <c r="K58" s="2">
        <v>45764</v>
      </c>
      <c r="L58" s="3">
        <v>4542652.49</v>
      </c>
      <c r="M58" t="s">
        <v>217</v>
      </c>
      <c r="N58" t="str">
        <f>VLOOKUP(Purchase[[#This Row],[Supplier_ID]],Supplier[],MATCH(Purchase[[#Headers],[Supplier_Name]],Supplier[#Headers],0),0)</f>
        <v>Hitachi</v>
      </c>
    </row>
    <row r="59" spans="1:14" x14ac:dyDescent="0.25">
      <c r="A59" t="s">
        <v>99</v>
      </c>
      <c r="B59" s="2">
        <v>45689</v>
      </c>
      <c r="C59" t="s">
        <v>62</v>
      </c>
      <c r="D59" t="s">
        <v>77</v>
      </c>
      <c r="E59" t="s">
        <v>38</v>
      </c>
      <c r="F59" t="s">
        <v>39</v>
      </c>
      <c r="G59">
        <v>352</v>
      </c>
      <c r="H59" s="3">
        <v>79181.119999999995</v>
      </c>
      <c r="I59" s="3">
        <v>27871754.239999998</v>
      </c>
      <c r="J59" t="s">
        <v>14</v>
      </c>
      <c r="K59" s="2">
        <v>45757</v>
      </c>
      <c r="L59" s="3">
        <v>36888722.030000001</v>
      </c>
      <c r="M59" t="s">
        <v>215</v>
      </c>
      <c r="N59" t="str">
        <f>VLOOKUP(Purchase[[#This Row],[Supplier_ID]],Supplier[],MATCH(Purchase[[#Headers],[Supplier_Name]],Supplier[#Headers],0),0)</f>
        <v>Shanghai Solar Tech</v>
      </c>
    </row>
    <row r="60" spans="1:14" x14ac:dyDescent="0.25">
      <c r="A60" t="s">
        <v>100</v>
      </c>
      <c r="B60" s="2">
        <v>45777</v>
      </c>
      <c r="C60" t="s">
        <v>46</v>
      </c>
      <c r="D60" t="s">
        <v>47</v>
      </c>
      <c r="E60" t="s">
        <v>38</v>
      </c>
      <c r="F60" t="s">
        <v>39</v>
      </c>
      <c r="G60">
        <v>139</v>
      </c>
      <c r="H60" s="3">
        <v>221294.04</v>
      </c>
      <c r="I60" s="3">
        <v>30759871.559999999</v>
      </c>
      <c r="J60" t="s">
        <v>14</v>
      </c>
      <c r="K60" s="2">
        <v>45700</v>
      </c>
      <c r="L60" s="3">
        <v>17462452.489999998</v>
      </c>
      <c r="M60" t="s">
        <v>215</v>
      </c>
      <c r="N60" t="str">
        <f>VLOOKUP(Purchase[[#This Row],[Supplier_ID]],Supplier[],MATCH(Purchase[[#Headers],[Supplier_Name]],Supplier[#Headers],0),0)</f>
        <v>Shanghai Solar Tech</v>
      </c>
    </row>
    <row r="61" spans="1:14" x14ac:dyDescent="0.25">
      <c r="A61" t="s">
        <v>101</v>
      </c>
      <c r="B61" s="2">
        <v>45828</v>
      </c>
      <c r="C61" t="s">
        <v>46</v>
      </c>
      <c r="D61" t="s">
        <v>55</v>
      </c>
      <c r="E61" t="s">
        <v>12</v>
      </c>
      <c r="F61" t="s">
        <v>13</v>
      </c>
      <c r="G61">
        <v>463</v>
      </c>
      <c r="H61" s="3">
        <v>124378.89</v>
      </c>
      <c r="I61" s="3">
        <v>57587426.07</v>
      </c>
      <c r="J61" t="s">
        <v>14</v>
      </c>
      <c r="K61" s="2">
        <v>45796</v>
      </c>
      <c r="L61" s="3">
        <v>8672086.5700000003</v>
      </c>
      <c r="M61" t="s">
        <v>215</v>
      </c>
      <c r="N61" t="str">
        <f>VLOOKUP(Purchase[[#This Row],[Supplier_ID]],Supplier[],MATCH(Purchase[[#Headers],[Supplier_Name]],Supplier[#Headers],0),0)</f>
        <v>Hitachi</v>
      </c>
    </row>
    <row r="62" spans="1:14" x14ac:dyDescent="0.25">
      <c r="A62" t="s">
        <v>102</v>
      </c>
      <c r="B62" s="2">
        <v>45708</v>
      </c>
      <c r="C62" t="s">
        <v>25</v>
      </c>
      <c r="D62" t="s">
        <v>57</v>
      </c>
      <c r="E62" t="s">
        <v>16</v>
      </c>
      <c r="F62" t="s">
        <v>17</v>
      </c>
      <c r="G62">
        <v>216</v>
      </c>
      <c r="H62" s="3">
        <v>88083.46</v>
      </c>
      <c r="I62" s="3">
        <v>19026027.359999999</v>
      </c>
      <c r="J62" t="s">
        <v>18</v>
      </c>
      <c r="K62" s="2">
        <v>45690</v>
      </c>
      <c r="L62" s="3">
        <v>19248364.100000001</v>
      </c>
      <c r="M62" t="s">
        <v>215</v>
      </c>
      <c r="N62" t="str">
        <f>VLOOKUP(Purchase[[#This Row],[Supplier_ID]],Supplier[],MATCH(Purchase[[#Headers],[Supplier_Name]],Supplier[#Headers],0),0)</f>
        <v>Schneider Electric</v>
      </c>
    </row>
    <row r="63" spans="1:14" x14ac:dyDescent="0.25">
      <c r="A63" t="s">
        <v>103</v>
      </c>
      <c r="B63" s="2">
        <v>45799</v>
      </c>
      <c r="C63" t="s">
        <v>10</v>
      </c>
      <c r="D63" t="s">
        <v>11</v>
      </c>
      <c r="E63" t="s">
        <v>50</v>
      </c>
      <c r="F63" t="s">
        <v>51</v>
      </c>
      <c r="G63">
        <v>197</v>
      </c>
      <c r="H63" s="3">
        <v>9773.32</v>
      </c>
      <c r="I63" s="3">
        <v>1925344.04</v>
      </c>
      <c r="J63" t="s">
        <v>18</v>
      </c>
      <c r="K63" s="2">
        <v>45740</v>
      </c>
      <c r="L63" s="3">
        <v>6419852.6900000004</v>
      </c>
      <c r="M63" t="s">
        <v>215</v>
      </c>
      <c r="N63" t="str">
        <f>VLOOKUP(Purchase[[#This Row],[Supplier_ID]],Supplier[],MATCH(Purchase[[#Headers],[Supplier_Name]],Supplier[#Headers],0),0)</f>
        <v>DP World Industrial</v>
      </c>
    </row>
    <row r="64" spans="1:14" x14ac:dyDescent="0.25">
      <c r="A64" t="s">
        <v>104</v>
      </c>
      <c r="B64" s="2">
        <v>45733</v>
      </c>
      <c r="C64" t="s">
        <v>62</v>
      </c>
      <c r="D64" t="s">
        <v>77</v>
      </c>
      <c r="E64" t="s">
        <v>12</v>
      </c>
      <c r="F64" t="s">
        <v>13</v>
      </c>
      <c r="G64">
        <v>179</v>
      </c>
      <c r="H64" s="3">
        <v>131771.29</v>
      </c>
      <c r="I64" s="3">
        <v>23587060.91</v>
      </c>
      <c r="J64" t="s">
        <v>32</v>
      </c>
      <c r="K64" s="2">
        <v>45786</v>
      </c>
      <c r="L64" s="3">
        <v>15794845.890000001</v>
      </c>
      <c r="M64" t="s">
        <v>217</v>
      </c>
      <c r="N64" t="str">
        <f>VLOOKUP(Purchase[[#This Row],[Supplier_ID]],Supplier[],MATCH(Purchase[[#Headers],[Supplier_Name]],Supplier[#Headers],0),0)</f>
        <v>Hitachi</v>
      </c>
    </row>
    <row r="65" spans="1:14" x14ac:dyDescent="0.25">
      <c r="A65" t="s">
        <v>105</v>
      </c>
      <c r="B65" s="2">
        <v>45725</v>
      </c>
      <c r="C65" t="s">
        <v>20</v>
      </c>
      <c r="D65" t="s">
        <v>21</v>
      </c>
      <c r="E65" t="s">
        <v>38</v>
      </c>
      <c r="F65" t="s">
        <v>39</v>
      </c>
      <c r="G65">
        <v>458</v>
      </c>
      <c r="H65" s="3">
        <v>30671</v>
      </c>
      <c r="I65" s="3">
        <v>14047318</v>
      </c>
      <c r="J65" t="s">
        <v>18</v>
      </c>
      <c r="K65" s="2">
        <v>45825</v>
      </c>
      <c r="L65" s="3">
        <v>19455969.600000001</v>
      </c>
      <c r="M65" t="s">
        <v>217</v>
      </c>
      <c r="N65" t="str">
        <f>VLOOKUP(Purchase[[#This Row],[Supplier_ID]],Supplier[],MATCH(Purchase[[#Headers],[Supplier_Name]],Supplier[#Headers],0),0)</f>
        <v>Shanghai Solar Tech</v>
      </c>
    </row>
    <row r="66" spans="1:14" x14ac:dyDescent="0.25">
      <c r="A66" t="s">
        <v>106</v>
      </c>
      <c r="B66" s="2">
        <v>45766</v>
      </c>
      <c r="C66" t="s">
        <v>20</v>
      </c>
      <c r="D66" t="s">
        <v>21</v>
      </c>
      <c r="E66" t="s">
        <v>30</v>
      </c>
      <c r="F66" t="s">
        <v>31</v>
      </c>
      <c r="G66">
        <v>396</v>
      </c>
      <c r="H66" s="3">
        <v>36741.11</v>
      </c>
      <c r="I66" s="3">
        <v>14549479.560000001</v>
      </c>
      <c r="J66" t="s">
        <v>32</v>
      </c>
      <c r="K66" s="2">
        <v>45821</v>
      </c>
      <c r="L66" s="3">
        <v>34442006.630000003</v>
      </c>
      <c r="M66" t="s">
        <v>215</v>
      </c>
      <c r="N66" t="str">
        <f>VLOOKUP(Purchase[[#This Row],[Supplier_ID]],Supplier[],MATCH(Purchase[[#Headers],[Supplier_Name]],Supplier[#Headers],0),0)</f>
        <v>BHP Supplies</v>
      </c>
    </row>
    <row r="67" spans="1:14" x14ac:dyDescent="0.25">
      <c r="A67" t="s">
        <v>107</v>
      </c>
      <c r="B67" s="2">
        <v>45804</v>
      </c>
      <c r="C67" t="s">
        <v>10</v>
      </c>
      <c r="D67" t="s">
        <v>41</v>
      </c>
      <c r="E67" t="s">
        <v>38</v>
      </c>
      <c r="F67" t="s">
        <v>39</v>
      </c>
      <c r="G67">
        <v>284</v>
      </c>
      <c r="H67" s="3">
        <v>230197.02</v>
      </c>
      <c r="I67" s="3">
        <v>65375953.68</v>
      </c>
      <c r="J67" t="s">
        <v>18</v>
      </c>
      <c r="K67" s="2">
        <v>45826</v>
      </c>
      <c r="L67" s="3">
        <v>39312696.030000001</v>
      </c>
      <c r="M67" t="s">
        <v>215</v>
      </c>
      <c r="N67" t="str">
        <f>VLOOKUP(Purchase[[#This Row],[Supplier_ID]],Supplier[],MATCH(Purchase[[#Headers],[Supplier_Name]],Supplier[#Headers],0),0)</f>
        <v>Shanghai Solar Tech</v>
      </c>
    </row>
    <row r="68" spans="1:14" x14ac:dyDescent="0.25">
      <c r="A68" t="s">
        <v>108</v>
      </c>
      <c r="B68" s="2">
        <v>45834</v>
      </c>
      <c r="C68" t="s">
        <v>46</v>
      </c>
      <c r="D68" t="s">
        <v>47</v>
      </c>
      <c r="E68" t="s">
        <v>22</v>
      </c>
      <c r="F68" t="s">
        <v>23</v>
      </c>
      <c r="G68">
        <v>152</v>
      </c>
      <c r="H68" s="3">
        <v>19094</v>
      </c>
      <c r="I68" s="3">
        <v>2902288</v>
      </c>
      <c r="J68" t="s">
        <v>14</v>
      </c>
      <c r="K68" s="2">
        <v>45821</v>
      </c>
      <c r="L68" s="3">
        <v>20283779.16</v>
      </c>
      <c r="M68" t="s">
        <v>215</v>
      </c>
      <c r="N68" t="str">
        <f>VLOOKUP(Purchase[[#This Row],[Supplier_ID]],Supplier[],MATCH(Purchase[[#Headers],[Supplier_Name]],Supplier[#Headers],0),0)</f>
        <v>Siemens India</v>
      </c>
    </row>
    <row r="69" spans="1:14" x14ac:dyDescent="0.25">
      <c r="A69" t="s">
        <v>109</v>
      </c>
      <c r="B69" s="2">
        <v>45680</v>
      </c>
      <c r="C69" t="s">
        <v>62</v>
      </c>
      <c r="D69" t="s">
        <v>77</v>
      </c>
      <c r="E69" t="s">
        <v>30</v>
      </c>
      <c r="F69" t="s">
        <v>31</v>
      </c>
      <c r="G69">
        <v>490</v>
      </c>
      <c r="H69" s="3">
        <v>9123.77</v>
      </c>
      <c r="I69" s="3">
        <v>4470647.3</v>
      </c>
      <c r="J69" t="s">
        <v>18</v>
      </c>
      <c r="K69" s="2">
        <v>45784</v>
      </c>
      <c r="L69" s="3">
        <v>9229980.6300000008</v>
      </c>
      <c r="M69" t="s">
        <v>215</v>
      </c>
      <c r="N69" t="str">
        <f>VLOOKUP(Purchase[[#This Row],[Supplier_ID]],Supplier[],MATCH(Purchase[[#Headers],[Supplier_Name]],Supplier[#Headers],0),0)</f>
        <v>BHP Supplies</v>
      </c>
    </row>
    <row r="70" spans="1:14" x14ac:dyDescent="0.25">
      <c r="A70" t="s">
        <v>110</v>
      </c>
      <c r="B70" s="2">
        <v>45774</v>
      </c>
      <c r="C70" t="s">
        <v>20</v>
      </c>
      <c r="D70" t="s">
        <v>21</v>
      </c>
      <c r="E70" t="s">
        <v>22</v>
      </c>
      <c r="F70" t="s">
        <v>23</v>
      </c>
      <c r="G70">
        <v>145</v>
      </c>
      <c r="H70" s="3">
        <v>216379.87</v>
      </c>
      <c r="I70" s="3">
        <v>31375081.149999999</v>
      </c>
      <c r="J70" t="s">
        <v>14</v>
      </c>
      <c r="K70" s="2">
        <v>45673</v>
      </c>
      <c r="L70" s="3">
        <v>20047304.600000001</v>
      </c>
      <c r="M70" t="s">
        <v>217</v>
      </c>
      <c r="N70" t="str">
        <f>VLOOKUP(Purchase[[#This Row],[Supplier_ID]],Supplier[],MATCH(Purchase[[#Headers],[Supplier_Name]],Supplier[#Headers],0),0)</f>
        <v>Siemens India</v>
      </c>
    </row>
    <row r="71" spans="1:14" x14ac:dyDescent="0.25">
      <c r="A71" t="s">
        <v>111</v>
      </c>
      <c r="B71" s="2">
        <v>45792</v>
      </c>
      <c r="C71" t="s">
        <v>10</v>
      </c>
      <c r="D71" t="s">
        <v>41</v>
      </c>
      <c r="E71" t="s">
        <v>30</v>
      </c>
      <c r="F71" t="s">
        <v>31</v>
      </c>
      <c r="G71">
        <v>328</v>
      </c>
      <c r="H71" s="3">
        <v>36660.080000000002</v>
      </c>
      <c r="I71" s="3">
        <v>12024506.24</v>
      </c>
      <c r="J71" t="s">
        <v>32</v>
      </c>
      <c r="K71" s="2">
        <v>45703</v>
      </c>
      <c r="L71" s="3">
        <v>19240461.039999999</v>
      </c>
      <c r="M71" t="s">
        <v>215</v>
      </c>
      <c r="N71" t="str">
        <f>VLOOKUP(Purchase[[#This Row],[Supplier_ID]],Supplier[],MATCH(Purchase[[#Headers],[Supplier_Name]],Supplier[#Headers],0),0)</f>
        <v>BHP Supplies</v>
      </c>
    </row>
    <row r="72" spans="1:14" x14ac:dyDescent="0.25">
      <c r="A72" t="s">
        <v>112</v>
      </c>
      <c r="B72" s="2">
        <v>45709</v>
      </c>
      <c r="C72" t="s">
        <v>25</v>
      </c>
      <c r="D72" t="s">
        <v>26</v>
      </c>
      <c r="E72" t="s">
        <v>38</v>
      </c>
      <c r="F72" t="s">
        <v>39</v>
      </c>
      <c r="G72">
        <v>144</v>
      </c>
      <c r="H72" s="3">
        <v>17343.03</v>
      </c>
      <c r="I72" s="3">
        <v>2497396.3199999998</v>
      </c>
      <c r="J72" t="s">
        <v>18</v>
      </c>
      <c r="K72" s="2">
        <v>45701</v>
      </c>
      <c r="L72" s="3">
        <v>12428239.01</v>
      </c>
      <c r="M72" t="s">
        <v>217</v>
      </c>
      <c r="N72" t="str">
        <f>VLOOKUP(Purchase[[#This Row],[Supplier_ID]],Supplier[],MATCH(Purchase[[#Headers],[Supplier_Name]],Supplier[#Headers],0),0)</f>
        <v>Shanghai Solar Tech</v>
      </c>
    </row>
    <row r="73" spans="1:14" x14ac:dyDescent="0.25">
      <c r="A73" t="s">
        <v>113</v>
      </c>
      <c r="B73" s="2">
        <v>45772</v>
      </c>
      <c r="C73" t="s">
        <v>46</v>
      </c>
      <c r="D73" t="s">
        <v>47</v>
      </c>
      <c r="E73" t="s">
        <v>16</v>
      </c>
      <c r="F73" t="s">
        <v>17</v>
      </c>
      <c r="G73">
        <v>398</v>
      </c>
      <c r="H73" s="3">
        <v>55438.53</v>
      </c>
      <c r="I73" s="3">
        <v>22064534.940000001</v>
      </c>
      <c r="J73" t="s">
        <v>32</v>
      </c>
      <c r="K73" s="2">
        <v>45712</v>
      </c>
      <c r="L73" s="3">
        <v>2150841.77</v>
      </c>
      <c r="M73" t="s">
        <v>217</v>
      </c>
      <c r="N73" t="str">
        <f>VLOOKUP(Purchase[[#This Row],[Supplier_ID]],Supplier[],MATCH(Purchase[[#Headers],[Supplier_Name]],Supplier[#Headers],0),0)</f>
        <v>Schneider Electric</v>
      </c>
    </row>
    <row r="74" spans="1:14" x14ac:dyDescent="0.25">
      <c r="A74" t="s">
        <v>114</v>
      </c>
      <c r="B74" s="2">
        <v>45722</v>
      </c>
      <c r="C74" t="s">
        <v>46</v>
      </c>
      <c r="D74" t="s">
        <v>55</v>
      </c>
      <c r="E74" t="s">
        <v>30</v>
      </c>
      <c r="F74" t="s">
        <v>31</v>
      </c>
      <c r="G74">
        <v>187</v>
      </c>
      <c r="H74" s="3">
        <v>201901.34</v>
      </c>
      <c r="I74" s="3">
        <v>37755550.579999998</v>
      </c>
      <c r="J74" t="s">
        <v>14</v>
      </c>
      <c r="K74" s="2">
        <v>45856</v>
      </c>
      <c r="L74" s="3">
        <v>33645446.909999996</v>
      </c>
      <c r="M74" t="s">
        <v>217</v>
      </c>
      <c r="N74" t="str">
        <f>VLOOKUP(Purchase[[#This Row],[Supplier_ID]],Supplier[],MATCH(Purchase[[#Headers],[Supplier_Name]],Supplier[#Headers],0),0)</f>
        <v>BHP Supplies</v>
      </c>
    </row>
    <row r="75" spans="1:14" x14ac:dyDescent="0.25">
      <c r="A75" t="s">
        <v>115</v>
      </c>
      <c r="B75" s="2">
        <v>45706</v>
      </c>
      <c r="C75" t="s">
        <v>20</v>
      </c>
      <c r="D75" t="s">
        <v>21</v>
      </c>
      <c r="E75" t="s">
        <v>50</v>
      </c>
      <c r="F75" t="s">
        <v>51</v>
      </c>
      <c r="G75">
        <v>268</v>
      </c>
      <c r="H75" s="3">
        <v>140007.04000000001</v>
      </c>
      <c r="I75" s="3">
        <v>37521886.719999999</v>
      </c>
      <c r="J75" t="s">
        <v>32</v>
      </c>
      <c r="K75" s="2">
        <v>45745</v>
      </c>
      <c r="L75" s="3">
        <v>5974777.6600000001</v>
      </c>
      <c r="M75" t="s">
        <v>217</v>
      </c>
      <c r="N75" t="str">
        <f>VLOOKUP(Purchase[[#This Row],[Supplier_ID]],Supplier[],MATCH(Purchase[[#Headers],[Supplier_Name]],Supplier[#Headers],0),0)</f>
        <v>DP World Industrial</v>
      </c>
    </row>
    <row r="76" spans="1:14" x14ac:dyDescent="0.25">
      <c r="A76" t="s">
        <v>116</v>
      </c>
      <c r="B76" s="2">
        <v>45824</v>
      </c>
      <c r="C76" t="s">
        <v>62</v>
      </c>
      <c r="D76" t="s">
        <v>77</v>
      </c>
      <c r="E76" t="s">
        <v>12</v>
      </c>
      <c r="F76" t="s">
        <v>13</v>
      </c>
      <c r="G76">
        <v>64</v>
      </c>
      <c r="H76" s="3">
        <v>166288.48000000001</v>
      </c>
      <c r="I76" s="3">
        <v>10642462.720000001</v>
      </c>
      <c r="J76" t="s">
        <v>18</v>
      </c>
      <c r="K76" s="2">
        <v>45779</v>
      </c>
      <c r="L76" s="3">
        <v>27547586.670000002</v>
      </c>
      <c r="M76" t="s">
        <v>217</v>
      </c>
      <c r="N76" t="str">
        <f>VLOOKUP(Purchase[[#This Row],[Supplier_ID]],Supplier[],MATCH(Purchase[[#Headers],[Supplier_Name]],Supplier[#Headers],0),0)</f>
        <v>Hitachi</v>
      </c>
    </row>
    <row r="77" spans="1:14" x14ac:dyDescent="0.25">
      <c r="A77" t="s">
        <v>117</v>
      </c>
      <c r="B77" s="2">
        <v>45787</v>
      </c>
      <c r="C77" t="s">
        <v>46</v>
      </c>
      <c r="D77" t="s">
        <v>47</v>
      </c>
      <c r="E77" t="s">
        <v>16</v>
      </c>
      <c r="F77" t="s">
        <v>17</v>
      </c>
      <c r="G77">
        <v>437</v>
      </c>
      <c r="H77" s="3">
        <v>222737.86</v>
      </c>
      <c r="I77" s="3">
        <v>97336444.819999993</v>
      </c>
      <c r="J77" t="s">
        <v>18</v>
      </c>
      <c r="K77" s="2">
        <v>45862</v>
      </c>
      <c r="L77" s="3">
        <v>15380085.77</v>
      </c>
      <c r="M77" t="s">
        <v>213</v>
      </c>
      <c r="N77" t="str">
        <f>VLOOKUP(Purchase[[#This Row],[Supplier_ID]],Supplier[],MATCH(Purchase[[#Headers],[Supplier_Name]],Supplier[#Headers],0),0)</f>
        <v>Schneider Electric</v>
      </c>
    </row>
    <row r="78" spans="1:14" x14ac:dyDescent="0.25">
      <c r="A78" t="s">
        <v>118</v>
      </c>
      <c r="B78" s="2">
        <v>45838</v>
      </c>
      <c r="C78" t="s">
        <v>46</v>
      </c>
      <c r="D78" t="s">
        <v>55</v>
      </c>
      <c r="E78" t="s">
        <v>38</v>
      </c>
      <c r="F78" t="s">
        <v>39</v>
      </c>
      <c r="G78">
        <v>185</v>
      </c>
      <c r="H78" s="3">
        <v>53663</v>
      </c>
      <c r="I78" s="3">
        <v>9927655</v>
      </c>
      <c r="J78" t="s">
        <v>32</v>
      </c>
      <c r="K78" s="2">
        <v>45741</v>
      </c>
      <c r="L78" s="3">
        <v>29172970.57</v>
      </c>
      <c r="M78" t="s">
        <v>213</v>
      </c>
      <c r="N78" t="str">
        <f>VLOOKUP(Purchase[[#This Row],[Supplier_ID]],Supplier[],MATCH(Purchase[[#Headers],[Supplier_Name]],Supplier[#Headers],0),0)</f>
        <v>Shanghai Solar Tech</v>
      </c>
    </row>
    <row r="79" spans="1:14" x14ac:dyDescent="0.25">
      <c r="A79" t="s">
        <v>119</v>
      </c>
      <c r="B79" s="2">
        <v>45691</v>
      </c>
      <c r="C79" t="s">
        <v>46</v>
      </c>
      <c r="D79" t="s">
        <v>55</v>
      </c>
      <c r="E79" t="s">
        <v>12</v>
      </c>
      <c r="F79" t="s">
        <v>13</v>
      </c>
      <c r="G79">
        <v>187</v>
      </c>
      <c r="H79" s="3">
        <v>245561.07</v>
      </c>
      <c r="I79" s="3">
        <v>45919920.090000004</v>
      </c>
      <c r="J79" t="s">
        <v>14</v>
      </c>
      <c r="K79" s="2">
        <v>45762</v>
      </c>
      <c r="L79" s="3">
        <v>32976251.129999999</v>
      </c>
      <c r="M79" t="s">
        <v>213</v>
      </c>
      <c r="N79" t="str">
        <f>VLOOKUP(Purchase[[#This Row],[Supplier_ID]],Supplier[],MATCH(Purchase[[#Headers],[Supplier_Name]],Supplier[#Headers],0),0)</f>
        <v>Hitachi</v>
      </c>
    </row>
    <row r="80" spans="1:14" x14ac:dyDescent="0.25">
      <c r="A80" t="s">
        <v>120</v>
      </c>
      <c r="B80" s="2">
        <v>45828</v>
      </c>
      <c r="C80" t="s">
        <v>20</v>
      </c>
      <c r="D80" t="s">
        <v>43</v>
      </c>
      <c r="E80" t="s">
        <v>12</v>
      </c>
      <c r="F80" t="s">
        <v>13</v>
      </c>
      <c r="G80">
        <v>93</v>
      </c>
      <c r="H80" s="3">
        <v>18573.27</v>
      </c>
      <c r="I80" s="3">
        <v>1727314.11</v>
      </c>
      <c r="J80" t="s">
        <v>18</v>
      </c>
      <c r="K80" s="2">
        <v>45791</v>
      </c>
      <c r="L80" s="3">
        <v>21973794.420000002</v>
      </c>
      <c r="M80" t="s">
        <v>215</v>
      </c>
      <c r="N80" t="str">
        <f>VLOOKUP(Purchase[[#This Row],[Supplier_ID]],Supplier[],MATCH(Purchase[[#Headers],[Supplier_Name]],Supplier[#Headers],0),0)</f>
        <v>Hitachi</v>
      </c>
    </row>
    <row r="81" spans="1:14" x14ac:dyDescent="0.25">
      <c r="A81" t="s">
        <v>121</v>
      </c>
      <c r="B81" s="2">
        <v>45669</v>
      </c>
      <c r="C81" t="s">
        <v>28</v>
      </c>
      <c r="D81" t="s">
        <v>36</v>
      </c>
      <c r="E81" t="s">
        <v>16</v>
      </c>
      <c r="F81" t="s">
        <v>17</v>
      </c>
      <c r="G81">
        <v>134</v>
      </c>
      <c r="H81" s="3">
        <v>174707.95</v>
      </c>
      <c r="I81" s="3">
        <v>23410865.300000001</v>
      </c>
      <c r="J81" t="s">
        <v>18</v>
      </c>
      <c r="K81" s="2">
        <v>45663</v>
      </c>
      <c r="L81" s="3">
        <v>30982704.800000001</v>
      </c>
      <c r="M81" t="s">
        <v>213</v>
      </c>
      <c r="N81" t="str">
        <f>VLOOKUP(Purchase[[#This Row],[Supplier_ID]],Supplier[],MATCH(Purchase[[#Headers],[Supplier_Name]],Supplier[#Headers],0),0)</f>
        <v>Schneider Electric</v>
      </c>
    </row>
    <row r="82" spans="1:14" x14ac:dyDescent="0.25">
      <c r="A82" t="s">
        <v>122</v>
      </c>
      <c r="B82" s="2">
        <v>45751</v>
      </c>
      <c r="C82" t="s">
        <v>25</v>
      </c>
      <c r="D82" t="s">
        <v>26</v>
      </c>
      <c r="E82" t="s">
        <v>30</v>
      </c>
      <c r="F82" t="s">
        <v>31</v>
      </c>
      <c r="G82">
        <v>238</v>
      </c>
      <c r="H82" s="3">
        <v>5887.56</v>
      </c>
      <c r="I82" s="3">
        <v>1401239.28</v>
      </c>
      <c r="J82" t="s">
        <v>18</v>
      </c>
      <c r="K82" s="2">
        <v>45782</v>
      </c>
      <c r="L82" s="3">
        <v>11839021.08</v>
      </c>
      <c r="M82" t="s">
        <v>217</v>
      </c>
      <c r="N82" t="str">
        <f>VLOOKUP(Purchase[[#This Row],[Supplier_ID]],Supplier[],MATCH(Purchase[[#Headers],[Supplier_Name]],Supplier[#Headers],0),0)</f>
        <v>BHP Supplies</v>
      </c>
    </row>
    <row r="83" spans="1:14" x14ac:dyDescent="0.25">
      <c r="A83" t="s">
        <v>123</v>
      </c>
      <c r="B83" s="2">
        <v>45737</v>
      </c>
      <c r="C83" t="s">
        <v>28</v>
      </c>
      <c r="D83" t="s">
        <v>36</v>
      </c>
      <c r="E83" t="s">
        <v>38</v>
      </c>
      <c r="F83" t="s">
        <v>39</v>
      </c>
      <c r="G83">
        <v>27</v>
      </c>
      <c r="H83" s="3">
        <v>241588.36</v>
      </c>
      <c r="I83" s="3">
        <v>6522885.7199999997</v>
      </c>
      <c r="J83" t="s">
        <v>14</v>
      </c>
      <c r="K83" s="2">
        <v>45862</v>
      </c>
      <c r="L83" s="3">
        <v>40966614.810000002</v>
      </c>
      <c r="M83" t="s">
        <v>215</v>
      </c>
      <c r="N83" t="str">
        <f>VLOOKUP(Purchase[[#This Row],[Supplier_ID]],Supplier[],MATCH(Purchase[[#Headers],[Supplier_Name]],Supplier[#Headers],0),0)</f>
        <v>Shanghai Solar Tech</v>
      </c>
    </row>
    <row r="84" spans="1:14" x14ac:dyDescent="0.25">
      <c r="A84" t="s">
        <v>124</v>
      </c>
      <c r="B84" s="2">
        <v>45779</v>
      </c>
      <c r="C84" t="s">
        <v>10</v>
      </c>
      <c r="D84" t="s">
        <v>11</v>
      </c>
      <c r="E84" t="s">
        <v>22</v>
      </c>
      <c r="F84" t="s">
        <v>23</v>
      </c>
      <c r="G84">
        <v>181</v>
      </c>
      <c r="H84" s="3">
        <v>98498.52</v>
      </c>
      <c r="I84" s="3">
        <v>17828232.120000001</v>
      </c>
      <c r="J84" t="s">
        <v>18</v>
      </c>
      <c r="K84" s="2">
        <v>45784</v>
      </c>
      <c r="L84" s="3">
        <v>20077083.07</v>
      </c>
      <c r="M84" t="s">
        <v>215</v>
      </c>
      <c r="N84" t="str">
        <f>VLOOKUP(Purchase[[#This Row],[Supplier_ID]],Supplier[],MATCH(Purchase[[#Headers],[Supplier_Name]],Supplier[#Headers],0),0)</f>
        <v>Siemens India</v>
      </c>
    </row>
    <row r="85" spans="1:14" x14ac:dyDescent="0.25">
      <c r="A85" t="s">
        <v>125</v>
      </c>
      <c r="B85" s="2">
        <v>45681</v>
      </c>
      <c r="C85" t="s">
        <v>28</v>
      </c>
      <c r="D85" t="s">
        <v>29</v>
      </c>
      <c r="E85" t="s">
        <v>38</v>
      </c>
      <c r="F85" t="s">
        <v>39</v>
      </c>
      <c r="G85">
        <v>268</v>
      </c>
      <c r="H85" s="3">
        <v>195178.33</v>
      </c>
      <c r="I85" s="3">
        <v>52307792.439999998</v>
      </c>
      <c r="J85" t="s">
        <v>18</v>
      </c>
      <c r="K85" s="2">
        <v>45695</v>
      </c>
      <c r="L85" s="3">
        <v>17992896.07</v>
      </c>
      <c r="M85" t="s">
        <v>213</v>
      </c>
      <c r="N85" t="str">
        <f>VLOOKUP(Purchase[[#This Row],[Supplier_ID]],Supplier[],MATCH(Purchase[[#Headers],[Supplier_Name]],Supplier[#Headers],0),0)</f>
        <v>Shanghai Solar Tech</v>
      </c>
    </row>
    <row r="86" spans="1:14" x14ac:dyDescent="0.25">
      <c r="A86" t="s">
        <v>126</v>
      </c>
      <c r="B86" s="2">
        <v>45663</v>
      </c>
      <c r="C86" t="s">
        <v>20</v>
      </c>
      <c r="D86" t="s">
        <v>21</v>
      </c>
      <c r="E86" t="s">
        <v>12</v>
      </c>
      <c r="F86" t="s">
        <v>13</v>
      </c>
      <c r="G86">
        <v>310</v>
      </c>
      <c r="H86" s="3">
        <v>15208.4</v>
      </c>
      <c r="I86" s="3">
        <v>4714604</v>
      </c>
      <c r="J86" t="s">
        <v>18</v>
      </c>
      <c r="K86" s="2">
        <v>45686</v>
      </c>
      <c r="L86" s="3">
        <v>40133871.869999997</v>
      </c>
      <c r="M86" t="s">
        <v>217</v>
      </c>
      <c r="N86" t="str">
        <f>VLOOKUP(Purchase[[#This Row],[Supplier_ID]],Supplier[],MATCH(Purchase[[#Headers],[Supplier_Name]],Supplier[#Headers],0),0)</f>
        <v>Hitachi</v>
      </c>
    </row>
    <row r="87" spans="1:14" x14ac:dyDescent="0.25">
      <c r="A87" t="s">
        <v>127</v>
      </c>
      <c r="B87" s="2">
        <v>45697</v>
      </c>
      <c r="C87" t="s">
        <v>10</v>
      </c>
      <c r="D87" t="s">
        <v>11</v>
      </c>
      <c r="E87" t="s">
        <v>22</v>
      </c>
      <c r="F87" t="s">
        <v>23</v>
      </c>
      <c r="G87">
        <v>309</v>
      </c>
      <c r="H87" s="3">
        <v>239621.11</v>
      </c>
      <c r="I87" s="3">
        <v>74042922.989999995</v>
      </c>
      <c r="J87" t="s">
        <v>32</v>
      </c>
      <c r="K87" s="2">
        <v>45793</v>
      </c>
      <c r="L87" s="3">
        <v>32889079.190000001</v>
      </c>
      <c r="M87" t="s">
        <v>215</v>
      </c>
      <c r="N87" t="str">
        <f>VLOOKUP(Purchase[[#This Row],[Supplier_ID]],Supplier[],MATCH(Purchase[[#Headers],[Supplier_Name]],Supplier[#Headers],0),0)</f>
        <v>Siemens India</v>
      </c>
    </row>
    <row r="88" spans="1:14" x14ac:dyDescent="0.25">
      <c r="A88" t="s">
        <v>128</v>
      </c>
      <c r="B88" s="2">
        <v>45696</v>
      </c>
      <c r="C88" t="s">
        <v>46</v>
      </c>
      <c r="D88" t="s">
        <v>47</v>
      </c>
      <c r="E88" t="s">
        <v>30</v>
      </c>
      <c r="F88" t="s">
        <v>31</v>
      </c>
      <c r="G88">
        <v>378</v>
      </c>
      <c r="H88" s="3">
        <v>246258.63</v>
      </c>
      <c r="I88" s="3">
        <v>93085762.140000001</v>
      </c>
      <c r="J88" t="s">
        <v>18</v>
      </c>
      <c r="K88" s="2">
        <v>45825</v>
      </c>
      <c r="L88" s="3">
        <v>6600521.2000000002</v>
      </c>
      <c r="M88" t="s">
        <v>217</v>
      </c>
      <c r="N88" t="str">
        <f>VLOOKUP(Purchase[[#This Row],[Supplier_ID]],Supplier[],MATCH(Purchase[[#Headers],[Supplier_Name]],Supplier[#Headers],0),0)</f>
        <v>BHP Supplies</v>
      </c>
    </row>
    <row r="89" spans="1:14" x14ac:dyDescent="0.25">
      <c r="A89" t="s">
        <v>129</v>
      </c>
      <c r="B89" s="2">
        <v>45789</v>
      </c>
      <c r="C89" t="s">
        <v>46</v>
      </c>
      <c r="D89" t="s">
        <v>55</v>
      </c>
      <c r="E89" t="s">
        <v>22</v>
      </c>
      <c r="F89" t="s">
        <v>23</v>
      </c>
      <c r="G89">
        <v>432</v>
      </c>
      <c r="H89" s="3">
        <v>209645.94</v>
      </c>
      <c r="I89" s="3">
        <v>90567046.079999998</v>
      </c>
      <c r="J89" t="s">
        <v>32</v>
      </c>
      <c r="K89" s="2">
        <v>45743</v>
      </c>
      <c r="L89" s="3">
        <v>38904040.710000001</v>
      </c>
      <c r="M89" t="s">
        <v>217</v>
      </c>
      <c r="N89" t="str">
        <f>VLOOKUP(Purchase[[#This Row],[Supplier_ID]],Supplier[],MATCH(Purchase[[#Headers],[Supplier_Name]],Supplier[#Headers],0),0)</f>
        <v>Siemens India</v>
      </c>
    </row>
    <row r="90" spans="1:14" x14ac:dyDescent="0.25">
      <c r="A90" t="s">
        <v>130</v>
      </c>
      <c r="B90" s="2">
        <v>45662</v>
      </c>
      <c r="C90" t="s">
        <v>62</v>
      </c>
      <c r="D90" t="s">
        <v>77</v>
      </c>
      <c r="E90" t="s">
        <v>16</v>
      </c>
      <c r="F90" t="s">
        <v>17</v>
      </c>
      <c r="G90">
        <v>395</v>
      </c>
      <c r="H90" s="3">
        <v>128570.91</v>
      </c>
      <c r="I90" s="3">
        <v>50785509.450000003</v>
      </c>
      <c r="J90" t="s">
        <v>32</v>
      </c>
      <c r="K90" s="2">
        <v>45683</v>
      </c>
      <c r="L90" s="3">
        <v>2807820.06</v>
      </c>
      <c r="M90" t="s">
        <v>217</v>
      </c>
      <c r="N90" t="str">
        <f>VLOOKUP(Purchase[[#This Row],[Supplier_ID]],Supplier[],MATCH(Purchase[[#Headers],[Supplier_Name]],Supplier[#Headers],0),0)</f>
        <v>Schneider Electric</v>
      </c>
    </row>
    <row r="91" spans="1:14" x14ac:dyDescent="0.25">
      <c r="A91" t="s">
        <v>131</v>
      </c>
      <c r="B91" s="2">
        <v>45821</v>
      </c>
      <c r="C91" t="s">
        <v>28</v>
      </c>
      <c r="D91" t="s">
        <v>29</v>
      </c>
      <c r="E91" t="s">
        <v>22</v>
      </c>
      <c r="F91" t="s">
        <v>23</v>
      </c>
      <c r="G91">
        <v>25</v>
      </c>
      <c r="H91" s="3">
        <v>15256.21</v>
      </c>
      <c r="I91" s="3">
        <v>381405.25</v>
      </c>
      <c r="J91" t="s">
        <v>18</v>
      </c>
      <c r="K91" s="2">
        <v>45759</v>
      </c>
      <c r="L91" s="3">
        <v>32672008.25</v>
      </c>
      <c r="M91" t="s">
        <v>215</v>
      </c>
      <c r="N91" t="str">
        <f>VLOOKUP(Purchase[[#This Row],[Supplier_ID]],Supplier[],MATCH(Purchase[[#Headers],[Supplier_Name]],Supplier[#Headers],0),0)</f>
        <v>Siemens India</v>
      </c>
    </row>
    <row r="92" spans="1:14" x14ac:dyDescent="0.25">
      <c r="A92" t="s">
        <v>132</v>
      </c>
      <c r="B92" s="2">
        <v>45662</v>
      </c>
      <c r="C92" t="s">
        <v>20</v>
      </c>
      <c r="D92" t="s">
        <v>43</v>
      </c>
      <c r="E92" t="s">
        <v>12</v>
      </c>
      <c r="F92" t="s">
        <v>13</v>
      </c>
      <c r="G92">
        <v>295</v>
      </c>
      <c r="H92" s="3">
        <v>17441.18</v>
      </c>
      <c r="I92" s="3">
        <v>5145148.0999999996</v>
      </c>
      <c r="J92" t="s">
        <v>32</v>
      </c>
      <c r="K92" s="2">
        <v>45669</v>
      </c>
      <c r="L92" s="3">
        <v>42867798.549999997</v>
      </c>
      <c r="M92" t="s">
        <v>217</v>
      </c>
      <c r="N92" t="str">
        <f>VLOOKUP(Purchase[[#This Row],[Supplier_ID]],Supplier[],MATCH(Purchase[[#Headers],[Supplier_Name]],Supplier[#Headers],0),0)</f>
        <v>Hitachi</v>
      </c>
    </row>
    <row r="93" spans="1:14" x14ac:dyDescent="0.25">
      <c r="A93" t="s">
        <v>133</v>
      </c>
      <c r="B93" s="2">
        <v>45675</v>
      </c>
      <c r="C93" t="s">
        <v>28</v>
      </c>
      <c r="D93" t="s">
        <v>29</v>
      </c>
      <c r="E93" t="s">
        <v>12</v>
      </c>
      <c r="F93" t="s">
        <v>13</v>
      </c>
      <c r="G93">
        <v>145</v>
      </c>
      <c r="H93" s="3">
        <v>5812.01</v>
      </c>
      <c r="I93" s="3">
        <v>842741.45</v>
      </c>
      <c r="J93" t="s">
        <v>32</v>
      </c>
      <c r="K93" s="2">
        <v>45850</v>
      </c>
      <c r="L93" s="3">
        <v>34658222.43</v>
      </c>
      <c r="M93" t="s">
        <v>215</v>
      </c>
      <c r="N93" t="str">
        <f>VLOOKUP(Purchase[[#This Row],[Supplier_ID]],Supplier[],MATCH(Purchase[[#Headers],[Supplier_Name]],Supplier[#Headers],0),0)</f>
        <v>Hitachi</v>
      </c>
    </row>
    <row r="94" spans="1:14" x14ac:dyDescent="0.25">
      <c r="A94" t="s">
        <v>134</v>
      </c>
      <c r="B94" s="2">
        <v>45779</v>
      </c>
      <c r="C94" t="s">
        <v>28</v>
      </c>
      <c r="D94" t="s">
        <v>29</v>
      </c>
      <c r="E94" t="s">
        <v>50</v>
      </c>
      <c r="F94" t="s">
        <v>51</v>
      </c>
      <c r="G94">
        <v>279</v>
      </c>
      <c r="H94" s="3">
        <v>21182.34</v>
      </c>
      <c r="I94" s="3">
        <v>5909872.8600000003</v>
      </c>
      <c r="J94" t="s">
        <v>18</v>
      </c>
      <c r="K94" s="2">
        <v>45712</v>
      </c>
      <c r="L94" s="3">
        <v>6667712.2000000002</v>
      </c>
      <c r="M94" t="s">
        <v>213</v>
      </c>
      <c r="N94" t="str">
        <f>VLOOKUP(Purchase[[#This Row],[Supplier_ID]],Supplier[],MATCH(Purchase[[#Headers],[Supplier_Name]],Supplier[#Headers],0),0)</f>
        <v>DP World Industrial</v>
      </c>
    </row>
    <row r="95" spans="1:14" x14ac:dyDescent="0.25">
      <c r="A95" t="s">
        <v>135</v>
      </c>
      <c r="B95" s="2">
        <v>45717</v>
      </c>
      <c r="C95" t="s">
        <v>20</v>
      </c>
      <c r="D95" t="s">
        <v>43</v>
      </c>
      <c r="E95" t="s">
        <v>38</v>
      </c>
      <c r="F95" t="s">
        <v>39</v>
      </c>
      <c r="G95">
        <v>383</v>
      </c>
      <c r="H95" s="3">
        <v>190328.14</v>
      </c>
      <c r="I95" s="3">
        <v>72895677.620000005</v>
      </c>
      <c r="J95" t="s">
        <v>32</v>
      </c>
      <c r="K95" s="2">
        <v>45736</v>
      </c>
      <c r="L95" s="3">
        <v>47836300.490000002</v>
      </c>
      <c r="M95" t="s">
        <v>215</v>
      </c>
      <c r="N95" t="str">
        <f>VLOOKUP(Purchase[[#This Row],[Supplier_ID]],Supplier[],MATCH(Purchase[[#Headers],[Supplier_Name]],Supplier[#Headers],0),0)</f>
        <v>Shanghai Solar Tech</v>
      </c>
    </row>
    <row r="96" spans="1:14" x14ac:dyDescent="0.25">
      <c r="A96" t="s">
        <v>136</v>
      </c>
      <c r="B96" s="2">
        <v>45780</v>
      </c>
      <c r="C96" t="s">
        <v>46</v>
      </c>
      <c r="D96" t="s">
        <v>47</v>
      </c>
      <c r="E96" t="s">
        <v>12</v>
      </c>
      <c r="F96" t="s">
        <v>13</v>
      </c>
      <c r="G96">
        <v>442</v>
      </c>
      <c r="H96" s="3">
        <v>98727.32</v>
      </c>
      <c r="I96" s="3">
        <v>43637475.439999998</v>
      </c>
      <c r="J96" t="s">
        <v>32</v>
      </c>
      <c r="K96" s="2">
        <v>45838</v>
      </c>
      <c r="L96" s="3">
        <v>39440237.960000001</v>
      </c>
      <c r="M96" t="s">
        <v>215</v>
      </c>
      <c r="N96" t="str">
        <f>VLOOKUP(Purchase[[#This Row],[Supplier_ID]],Supplier[],MATCH(Purchase[[#Headers],[Supplier_Name]],Supplier[#Headers],0),0)</f>
        <v>Hitachi</v>
      </c>
    </row>
    <row r="97" spans="1:14" x14ac:dyDescent="0.25">
      <c r="A97" t="s">
        <v>137</v>
      </c>
      <c r="B97" s="2">
        <v>45677</v>
      </c>
      <c r="C97" t="s">
        <v>10</v>
      </c>
      <c r="D97" t="s">
        <v>11</v>
      </c>
      <c r="E97" t="s">
        <v>16</v>
      </c>
      <c r="F97" t="s">
        <v>17</v>
      </c>
      <c r="G97">
        <v>333</v>
      </c>
      <c r="H97" s="3">
        <v>162476.93</v>
      </c>
      <c r="I97" s="3">
        <v>54104817.689999998</v>
      </c>
      <c r="J97" t="s">
        <v>32</v>
      </c>
      <c r="K97" s="2">
        <v>45679</v>
      </c>
      <c r="L97" s="3">
        <v>41668500.520000003</v>
      </c>
      <c r="M97" t="s">
        <v>217</v>
      </c>
      <c r="N97" t="str">
        <f>VLOOKUP(Purchase[[#This Row],[Supplier_ID]],Supplier[],MATCH(Purchase[[#Headers],[Supplier_Name]],Supplier[#Headers],0),0)</f>
        <v>Schneider Electric</v>
      </c>
    </row>
    <row r="98" spans="1:14" x14ac:dyDescent="0.25">
      <c r="A98" t="s">
        <v>138</v>
      </c>
      <c r="B98" s="2">
        <v>45735</v>
      </c>
      <c r="C98" t="s">
        <v>25</v>
      </c>
      <c r="D98" t="s">
        <v>57</v>
      </c>
      <c r="E98" t="s">
        <v>30</v>
      </c>
      <c r="F98" t="s">
        <v>31</v>
      </c>
      <c r="G98">
        <v>343</v>
      </c>
      <c r="H98" s="3">
        <v>187088.23</v>
      </c>
      <c r="I98" s="3">
        <v>64171262.890000001</v>
      </c>
      <c r="J98" t="s">
        <v>32</v>
      </c>
      <c r="K98" s="2">
        <v>45856</v>
      </c>
      <c r="L98" s="3">
        <v>12685816.220000001</v>
      </c>
      <c r="M98" t="s">
        <v>213</v>
      </c>
      <c r="N98" t="str">
        <f>VLOOKUP(Purchase[[#This Row],[Supplier_ID]],Supplier[],MATCH(Purchase[[#Headers],[Supplier_Name]],Supplier[#Headers],0),0)</f>
        <v>BHP Supplies</v>
      </c>
    </row>
    <row r="99" spans="1:14" x14ac:dyDescent="0.25">
      <c r="A99" t="s">
        <v>139</v>
      </c>
      <c r="B99" s="2">
        <v>45726</v>
      </c>
      <c r="C99" t="s">
        <v>28</v>
      </c>
      <c r="D99" t="s">
        <v>29</v>
      </c>
      <c r="E99" t="s">
        <v>22</v>
      </c>
      <c r="F99" t="s">
        <v>23</v>
      </c>
      <c r="G99">
        <v>256</v>
      </c>
      <c r="H99" s="3">
        <v>19861.95</v>
      </c>
      <c r="I99" s="3">
        <v>5084659.2</v>
      </c>
      <c r="J99" t="s">
        <v>32</v>
      </c>
      <c r="K99" s="2">
        <v>45820</v>
      </c>
      <c r="L99" s="3">
        <v>13822130.34</v>
      </c>
      <c r="M99" t="s">
        <v>213</v>
      </c>
      <c r="N99" t="str">
        <f>VLOOKUP(Purchase[[#This Row],[Supplier_ID]],Supplier[],MATCH(Purchase[[#Headers],[Supplier_Name]],Supplier[#Headers],0),0)</f>
        <v>Siemens India</v>
      </c>
    </row>
    <row r="100" spans="1:14" x14ac:dyDescent="0.25">
      <c r="A100" t="s">
        <v>140</v>
      </c>
      <c r="B100" s="2">
        <v>45790</v>
      </c>
      <c r="C100" t="s">
        <v>20</v>
      </c>
      <c r="D100" t="s">
        <v>21</v>
      </c>
      <c r="E100" t="s">
        <v>50</v>
      </c>
      <c r="F100" t="s">
        <v>51</v>
      </c>
      <c r="G100">
        <v>260</v>
      </c>
      <c r="H100" s="3">
        <v>76259.839999999997</v>
      </c>
      <c r="I100" s="3">
        <v>19827558.399999999</v>
      </c>
      <c r="J100" t="s">
        <v>18</v>
      </c>
      <c r="K100" s="2">
        <v>45699</v>
      </c>
      <c r="L100" s="3">
        <v>12782653.800000001</v>
      </c>
      <c r="M100" t="s">
        <v>213</v>
      </c>
      <c r="N100" t="str">
        <f>VLOOKUP(Purchase[[#This Row],[Supplier_ID]],Supplier[],MATCH(Purchase[[#Headers],[Supplier_Name]],Supplier[#Headers],0),0)</f>
        <v>DP World Industrial</v>
      </c>
    </row>
    <row r="101" spans="1:14" x14ac:dyDescent="0.25">
      <c r="A101" t="s">
        <v>141</v>
      </c>
      <c r="B101" s="2">
        <v>45798</v>
      </c>
      <c r="C101" t="s">
        <v>62</v>
      </c>
      <c r="D101" t="s">
        <v>63</v>
      </c>
      <c r="E101" t="s">
        <v>12</v>
      </c>
      <c r="F101" t="s">
        <v>13</v>
      </c>
      <c r="G101">
        <v>402</v>
      </c>
      <c r="H101" s="3">
        <v>34033.199999999997</v>
      </c>
      <c r="I101" s="3">
        <v>13681346.4</v>
      </c>
      <c r="J101" t="s">
        <v>14</v>
      </c>
      <c r="K101" s="2">
        <v>45716</v>
      </c>
      <c r="L101" s="3">
        <v>29635199.550000001</v>
      </c>
      <c r="M101" t="s">
        <v>217</v>
      </c>
      <c r="N101" t="str">
        <f>VLOOKUP(Purchase[[#This Row],[Supplier_ID]],Supplier[],MATCH(Purchase[[#Headers],[Supplier_Name]],Supplier[#Headers],0),0)</f>
        <v>Hitachi</v>
      </c>
    </row>
    <row r="102" spans="1:14" x14ac:dyDescent="0.25">
      <c r="A102" t="s">
        <v>142</v>
      </c>
      <c r="B102" s="2">
        <v>45677</v>
      </c>
      <c r="C102" t="s">
        <v>10</v>
      </c>
      <c r="D102" t="s">
        <v>11</v>
      </c>
      <c r="E102" t="s">
        <v>12</v>
      </c>
      <c r="F102" t="s">
        <v>13</v>
      </c>
      <c r="G102">
        <v>18</v>
      </c>
      <c r="H102" s="3">
        <v>75949.279999999999</v>
      </c>
      <c r="I102" s="3">
        <v>1367087.04</v>
      </c>
      <c r="J102" t="s">
        <v>32</v>
      </c>
      <c r="K102" s="2">
        <v>45792</v>
      </c>
      <c r="L102" s="3">
        <v>11946218.99</v>
      </c>
      <c r="M102" t="s">
        <v>213</v>
      </c>
      <c r="N102" t="str">
        <f>VLOOKUP(Purchase[[#This Row],[Supplier_ID]],Supplier[],MATCH(Purchase[[#Headers],[Supplier_Name]],Supplier[#Headers],0),0)</f>
        <v>Hitachi</v>
      </c>
    </row>
    <row r="103" spans="1:14" x14ac:dyDescent="0.25">
      <c r="A103" t="s">
        <v>143</v>
      </c>
      <c r="B103" s="2">
        <v>45711</v>
      </c>
      <c r="C103" t="s">
        <v>62</v>
      </c>
      <c r="D103" t="s">
        <v>63</v>
      </c>
      <c r="E103" t="s">
        <v>12</v>
      </c>
      <c r="F103" t="s">
        <v>13</v>
      </c>
      <c r="G103">
        <v>117</v>
      </c>
      <c r="H103" s="3">
        <v>229555.92</v>
      </c>
      <c r="I103" s="3">
        <v>26858042.640000001</v>
      </c>
      <c r="J103" t="s">
        <v>14</v>
      </c>
      <c r="K103" s="2">
        <v>45672</v>
      </c>
      <c r="L103" s="3">
        <v>10027213.210000001</v>
      </c>
      <c r="M103" t="s">
        <v>213</v>
      </c>
      <c r="N103" t="str">
        <f>VLOOKUP(Purchase[[#This Row],[Supplier_ID]],Supplier[],MATCH(Purchase[[#Headers],[Supplier_Name]],Supplier[#Headers],0),0)</f>
        <v>Hitachi</v>
      </c>
    </row>
    <row r="104" spans="1:14" x14ac:dyDescent="0.25">
      <c r="A104" t="s">
        <v>144</v>
      </c>
      <c r="B104" s="2">
        <v>45750</v>
      </c>
      <c r="C104" t="s">
        <v>28</v>
      </c>
      <c r="D104" t="s">
        <v>29</v>
      </c>
      <c r="E104" t="s">
        <v>38</v>
      </c>
      <c r="F104" t="s">
        <v>39</v>
      </c>
      <c r="G104">
        <v>392</v>
      </c>
      <c r="H104" s="3">
        <v>133396.1</v>
      </c>
      <c r="I104" s="3">
        <v>52291271.200000003</v>
      </c>
      <c r="J104" t="s">
        <v>14</v>
      </c>
      <c r="K104" s="2">
        <v>45704</v>
      </c>
      <c r="L104" s="3">
        <v>31864931.789999999</v>
      </c>
      <c r="M104" t="s">
        <v>213</v>
      </c>
      <c r="N104" t="str">
        <f>VLOOKUP(Purchase[[#This Row],[Supplier_ID]],Supplier[],MATCH(Purchase[[#Headers],[Supplier_Name]],Supplier[#Headers],0),0)</f>
        <v>Shanghai Solar Tech</v>
      </c>
    </row>
    <row r="105" spans="1:14" x14ac:dyDescent="0.25">
      <c r="A105" t="s">
        <v>145</v>
      </c>
      <c r="B105" s="2">
        <v>45785</v>
      </c>
      <c r="C105" t="s">
        <v>28</v>
      </c>
      <c r="D105" t="s">
        <v>36</v>
      </c>
      <c r="E105" t="s">
        <v>22</v>
      </c>
      <c r="F105" t="s">
        <v>23</v>
      </c>
      <c r="G105">
        <v>370</v>
      </c>
      <c r="H105" s="3">
        <v>94471.19</v>
      </c>
      <c r="I105" s="3">
        <v>34954340.299999997</v>
      </c>
      <c r="J105" t="s">
        <v>18</v>
      </c>
      <c r="K105" s="2">
        <v>45836</v>
      </c>
      <c r="L105" s="3">
        <v>16458434.119999999</v>
      </c>
      <c r="M105" t="s">
        <v>213</v>
      </c>
      <c r="N105" t="str">
        <f>VLOOKUP(Purchase[[#This Row],[Supplier_ID]],Supplier[],MATCH(Purchase[[#Headers],[Supplier_Name]],Supplier[#Headers],0),0)</f>
        <v>Siemens India</v>
      </c>
    </row>
    <row r="106" spans="1:14" x14ac:dyDescent="0.25">
      <c r="A106" t="s">
        <v>146</v>
      </c>
      <c r="B106" s="2">
        <v>45832</v>
      </c>
      <c r="C106" t="s">
        <v>62</v>
      </c>
      <c r="D106" t="s">
        <v>77</v>
      </c>
      <c r="E106" t="s">
        <v>38</v>
      </c>
      <c r="F106" t="s">
        <v>39</v>
      </c>
      <c r="G106">
        <v>11</v>
      </c>
      <c r="H106" s="3">
        <v>237740.1</v>
      </c>
      <c r="I106" s="3">
        <v>2615141.1</v>
      </c>
      <c r="J106" t="s">
        <v>18</v>
      </c>
      <c r="K106" s="2">
        <v>45706</v>
      </c>
      <c r="L106" s="3">
        <v>39626995.490000002</v>
      </c>
      <c r="M106" t="s">
        <v>213</v>
      </c>
      <c r="N106" t="str">
        <f>VLOOKUP(Purchase[[#This Row],[Supplier_ID]],Supplier[],MATCH(Purchase[[#Headers],[Supplier_Name]],Supplier[#Headers],0),0)</f>
        <v>Shanghai Solar Tech</v>
      </c>
    </row>
    <row r="107" spans="1:14" x14ac:dyDescent="0.25">
      <c r="A107" t="s">
        <v>147</v>
      </c>
      <c r="B107" s="2">
        <v>45754</v>
      </c>
      <c r="C107" t="s">
        <v>62</v>
      </c>
      <c r="D107" t="s">
        <v>63</v>
      </c>
      <c r="E107" t="s">
        <v>50</v>
      </c>
      <c r="F107" t="s">
        <v>51</v>
      </c>
      <c r="G107">
        <v>82</v>
      </c>
      <c r="H107" s="3">
        <v>106964.39</v>
      </c>
      <c r="I107" s="3">
        <v>8771079.9800000004</v>
      </c>
      <c r="J107" t="s">
        <v>18</v>
      </c>
      <c r="K107" s="2">
        <v>45692</v>
      </c>
      <c r="L107" s="3">
        <v>38436459.829999998</v>
      </c>
      <c r="M107" t="s">
        <v>215</v>
      </c>
      <c r="N107" t="str">
        <f>VLOOKUP(Purchase[[#This Row],[Supplier_ID]],Supplier[],MATCH(Purchase[[#Headers],[Supplier_Name]],Supplier[#Headers],0),0)</f>
        <v>DP World Industrial</v>
      </c>
    </row>
    <row r="108" spans="1:14" x14ac:dyDescent="0.25">
      <c r="A108" t="s">
        <v>148</v>
      </c>
      <c r="B108" s="2">
        <v>45759</v>
      </c>
      <c r="C108" t="s">
        <v>20</v>
      </c>
      <c r="D108" t="s">
        <v>43</v>
      </c>
      <c r="E108" t="s">
        <v>22</v>
      </c>
      <c r="F108" t="s">
        <v>23</v>
      </c>
      <c r="G108">
        <v>176</v>
      </c>
      <c r="H108" s="3">
        <v>188929.84</v>
      </c>
      <c r="I108" s="3">
        <v>33251651.84</v>
      </c>
      <c r="J108" t="s">
        <v>14</v>
      </c>
      <c r="K108" s="2">
        <v>45825</v>
      </c>
      <c r="L108" s="3">
        <v>42928619.539999999</v>
      </c>
      <c r="M108" t="s">
        <v>213</v>
      </c>
      <c r="N108" t="str">
        <f>VLOOKUP(Purchase[[#This Row],[Supplier_ID]],Supplier[],MATCH(Purchase[[#Headers],[Supplier_Name]],Supplier[#Headers],0),0)</f>
        <v>Siemens India</v>
      </c>
    </row>
    <row r="109" spans="1:14" x14ac:dyDescent="0.25">
      <c r="A109" t="s">
        <v>149</v>
      </c>
      <c r="B109" s="2">
        <v>45674</v>
      </c>
      <c r="C109" t="s">
        <v>25</v>
      </c>
      <c r="D109" t="s">
        <v>26</v>
      </c>
      <c r="E109" t="s">
        <v>50</v>
      </c>
      <c r="F109" t="s">
        <v>51</v>
      </c>
      <c r="G109">
        <v>158</v>
      </c>
      <c r="H109" s="3">
        <v>67036.990000000005</v>
      </c>
      <c r="I109" s="3">
        <v>10591844.42</v>
      </c>
      <c r="J109" t="s">
        <v>18</v>
      </c>
      <c r="K109" s="2">
        <v>45805</v>
      </c>
      <c r="L109" s="3">
        <v>26120480.41</v>
      </c>
      <c r="M109" t="s">
        <v>217</v>
      </c>
      <c r="N109" t="str">
        <f>VLOOKUP(Purchase[[#This Row],[Supplier_ID]],Supplier[],MATCH(Purchase[[#Headers],[Supplier_Name]],Supplier[#Headers],0),0)</f>
        <v>DP World Industrial</v>
      </c>
    </row>
    <row r="110" spans="1:14" x14ac:dyDescent="0.25">
      <c r="A110" t="s">
        <v>150</v>
      </c>
      <c r="B110" s="2">
        <v>45728</v>
      </c>
      <c r="C110" t="s">
        <v>62</v>
      </c>
      <c r="D110" t="s">
        <v>77</v>
      </c>
      <c r="E110" t="s">
        <v>30</v>
      </c>
      <c r="F110" t="s">
        <v>31</v>
      </c>
      <c r="G110">
        <v>483</v>
      </c>
      <c r="H110" s="3">
        <v>109872.92</v>
      </c>
      <c r="I110" s="3">
        <v>53068620.359999999</v>
      </c>
      <c r="J110" t="s">
        <v>14</v>
      </c>
      <c r="K110" s="2">
        <v>45689</v>
      </c>
      <c r="L110" s="3">
        <v>12676376.560000001</v>
      </c>
      <c r="M110" t="s">
        <v>217</v>
      </c>
      <c r="N110" t="str">
        <f>VLOOKUP(Purchase[[#This Row],[Supplier_ID]],Supplier[],MATCH(Purchase[[#Headers],[Supplier_Name]],Supplier[#Headers],0),0)</f>
        <v>BHP Supplies</v>
      </c>
    </row>
    <row r="111" spans="1:14" x14ac:dyDescent="0.25">
      <c r="A111" t="s">
        <v>151</v>
      </c>
      <c r="B111" s="2">
        <v>45820</v>
      </c>
      <c r="C111" t="s">
        <v>10</v>
      </c>
      <c r="D111" t="s">
        <v>11</v>
      </c>
      <c r="E111" t="s">
        <v>22</v>
      </c>
      <c r="F111" t="s">
        <v>23</v>
      </c>
      <c r="G111">
        <v>437</v>
      </c>
      <c r="H111" s="3">
        <v>167184.65</v>
      </c>
      <c r="I111" s="3">
        <v>73059692.049999997</v>
      </c>
      <c r="J111" t="s">
        <v>14</v>
      </c>
      <c r="K111" s="2">
        <v>45824</v>
      </c>
      <c r="L111" s="3">
        <v>42844309.359999999</v>
      </c>
      <c r="M111" t="s">
        <v>217</v>
      </c>
      <c r="N111" t="str">
        <f>VLOOKUP(Purchase[[#This Row],[Supplier_ID]],Supplier[],MATCH(Purchase[[#Headers],[Supplier_Name]],Supplier[#Headers],0),0)</f>
        <v>Siemens India</v>
      </c>
    </row>
    <row r="112" spans="1:14" x14ac:dyDescent="0.25">
      <c r="A112" t="s">
        <v>152</v>
      </c>
      <c r="B112" s="2">
        <v>45753</v>
      </c>
      <c r="C112" t="s">
        <v>25</v>
      </c>
      <c r="D112" t="s">
        <v>57</v>
      </c>
      <c r="E112" t="s">
        <v>12</v>
      </c>
      <c r="F112" t="s">
        <v>13</v>
      </c>
      <c r="G112">
        <v>271</v>
      </c>
      <c r="H112" s="3">
        <v>82322.34</v>
      </c>
      <c r="I112" s="3">
        <v>22309354.140000001</v>
      </c>
      <c r="J112" t="s">
        <v>18</v>
      </c>
      <c r="K112" s="2">
        <v>45867</v>
      </c>
      <c r="L112" s="3">
        <v>18636164.449999999</v>
      </c>
      <c r="M112" t="s">
        <v>213</v>
      </c>
      <c r="N112" t="str">
        <f>VLOOKUP(Purchase[[#This Row],[Supplier_ID]],Supplier[],MATCH(Purchase[[#Headers],[Supplier_Name]],Supplier[#Headers],0),0)</f>
        <v>Hitachi</v>
      </c>
    </row>
    <row r="113" spans="1:14" x14ac:dyDescent="0.25">
      <c r="A113" t="s">
        <v>153</v>
      </c>
      <c r="B113" s="2">
        <v>45678</v>
      </c>
      <c r="C113" t="s">
        <v>20</v>
      </c>
      <c r="D113" t="s">
        <v>43</v>
      </c>
      <c r="E113" t="s">
        <v>16</v>
      </c>
      <c r="F113" t="s">
        <v>17</v>
      </c>
      <c r="G113">
        <v>291</v>
      </c>
      <c r="H113" s="3">
        <v>54841.77</v>
      </c>
      <c r="I113" s="3">
        <v>15958955.07</v>
      </c>
      <c r="J113" t="s">
        <v>14</v>
      </c>
      <c r="K113" s="2">
        <v>45757</v>
      </c>
      <c r="L113" s="3">
        <v>28910289.539999999</v>
      </c>
      <c r="M113" t="s">
        <v>213</v>
      </c>
      <c r="N113" t="str">
        <f>VLOOKUP(Purchase[[#This Row],[Supplier_ID]],Supplier[],MATCH(Purchase[[#Headers],[Supplier_Name]],Supplier[#Headers],0),0)</f>
        <v>Schneider Electric</v>
      </c>
    </row>
    <row r="114" spans="1:14" x14ac:dyDescent="0.25">
      <c r="A114" t="s">
        <v>154</v>
      </c>
      <c r="B114" s="2">
        <v>45822</v>
      </c>
      <c r="C114" t="s">
        <v>46</v>
      </c>
      <c r="D114" t="s">
        <v>47</v>
      </c>
      <c r="E114" t="s">
        <v>12</v>
      </c>
      <c r="F114" t="s">
        <v>13</v>
      </c>
      <c r="G114">
        <v>324</v>
      </c>
      <c r="H114" s="3">
        <v>189403.66</v>
      </c>
      <c r="I114" s="3">
        <v>61366785.840000004</v>
      </c>
      <c r="J114" t="s">
        <v>18</v>
      </c>
      <c r="K114" s="2">
        <v>45747</v>
      </c>
      <c r="L114" s="3">
        <v>38255495.68</v>
      </c>
      <c r="M114" t="s">
        <v>213</v>
      </c>
      <c r="N114" t="str">
        <f>VLOOKUP(Purchase[[#This Row],[Supplier_ID]],Supplier[],MATCH(Purchase[[#Headers],[Supplier_Name]],Supplier[#Headers],0),0)</f>
        <v>Hitachi</v>
      </c>
    </row>
    <row r="115" spans="1:14" x14ac:dyDescent="0.25">
      <c r="A115" t="s">
        <v>155</v>
      </c>
      <c r="B115" s="2">
        <v>45764</v>
      </c>
      <c r="C115" t="s">
        <v>62</v>
      </c>
      <c r="D115" t="s">
        <v>77</v>
      </c>
      <c r="E115" t="s">
        <v>16</v>
      </c>
      <c r="F115" t="s">
        <v>17</v>
      </c>
      <c r="G115">
        <v>75</v>
      </c>
      <c r="H115" s="3">
        <v>46836.89</v>
      </c>
      <c r="I115" s="3">
        <v>3512766.75</v>
      </c>
      <c r="J115" t="s">
        <v>18</v>
      </c>
      <c r="K115" s="2">
        <v>45721</v>
      </c>
      <c r="L115" s="3">
        <v>8920127.3300000001</v>
      </c>
      <c r="M115" t="s">
        <v>217</v>
      </c>
      <c r="N115" t="str">
        <f>VLOOKUP(Purchase[[#This Row],[Supplier_ID]],Supplier[],MATCH(Purchase[[#Headers],[Supplier_Name]],Supplier[#Headers],0),0)</f>
        <v>Schneider Electric</v>
      </c>
    </row>
    <row r="116" spans="1:14" x14ac:dyDescent="0.25">
      <c r="A116" t="s">
        <v>156</v>
      </c>
      <c r="B116" s="2">
        <v>45825</v>
      </c>
      <c r="C116" t="s">
        <v>10</v>
      </c>
      <c r="D116" t="s">
        <v>41</v>
      </c>
      <c r="E116" t="s">
        <v>30</v>
      </c>
      <c r="F116" t="s">
        <v>31</v>
      </c>
      <c r="G116">
        <v>388</v>
      </c>
      <c r="H116" s="3">
        <v>185992.59</v>
      </c>
      <c r="I116" s="3">
        <v>72165124.920000002</v>
      </c>
      <c r="J116" t="s">
        <v>18</v>
      </c>
      <c r="K116" s="2">
        <v>45675</v>
      </c>
      <c r="L116" s="3">
        <v>14889531.75</v>
      </c>
      <c r="M116" t="s">
        <v>217</v>
      </c>
      <c r="N116" t="str">
        <f>VLOOKUP(Purchase[[#This Row],[Supplier_ID]],Supplier[],MATCH(Purchase[[#Headers],[Supplier_Name]],Supplier[#Headers],0),0)</f>
        <v>BHP Supplies</v>
      </c>
    </row>
    <row r="117" spans="1:14" x14ac:dyDescent="0.25">
      <c r="A117" t="s">
        <v>157</v>
      </c>
      <c r="B117" s="2">
        <v>45758</v>
      </c>
      <c r="C117" t="s">
        <v>62</v>
      </c>
      <c r="D117" t="s">
        <v>77</v>
      </c>
      <c r="E117" t="s">
        <v>30</v>
      </c>
      <c r="F117" t="s">
        <v>31</v>
      </c>
      <c r="G117">
        <v>257</v>
      </c>
      <c r="H117" s="3">
        <v>141543.82</v>
      </c>
      <c r="I117" s="3">
        <v>36376761.740000002</v>
      </c>
      <c r="J117" t="s">
        <v>14</v>
      </c>
      <c r="K117" s="2">
        <v>45727</v>
      </c>
      <c r="L117" s="3">
        <v>15572614.84</v>
      </c>
      <c r="M117" t="s">
        <v>217</v>
      </c>
      <c r="N117" t="str">
        <f>VLOOKUP(Purchase[[#This Row],[Supplier_ID]],Supplier[],MATCH(Purchase[[#Headers],[Supplier_Name]],Supplier[#Headers],0),0)</f>
        <v>BHP Supplies</v>
      </c>
    </row>
    <row r="118" spans="1:14" x14ac:dyDescent="0.25">
      <c r="A118" t="s">
        <v>158</v>
      </c>
      <c r="B118" s="2">
        <v>45785</v>
      </c>
      <c r="C118" t="s">
        <v>25</v>
      </c>
      <c r="D118" t="s">
        <v>26</v>
      </c>
      <c r="E118" t="s">
        <v>22</v>
      </c>
      <c r="F118" t="s">
        <v>23</v>
      </c>
      <c r="G118">
        <v>116</v>
      </c>
      <c r="H118" s="3">
        <v>127648.17</v>
      </c>
      <c r="I118" s="3">
        <v>14807187.720000001</v>
      </c>
      <c r="J118" t="s">
        <v>32</v>
      </c>
      <c r="K118" s="2">
        <v>45832</v>
      </c>
      <c r="L118" s="3">
        <v>44796576.710000001</v>
      </c>
      <c r="M118" t="s">
        <v>217</v>
      </c>
      <c r="N118" t="str">
        <f>VLOOKUP(Purchase[[#This Row],[Supplier_ID]],Supplier[],MATCH(Purchase[[#Headers],[Supplier_Name]],Supplier[#Headers],0),0)</f>
        <v>Siemens India</v>
      </c>
    </row>
    <row r="119" spans="1:14" x14ac:dyDescent="0.25">
      <c r="A119" t="s">
        <v>159</v>
      </c>
      <c r="B119" s="2">
        <v>45693</v>
      </c>
      <c r="C119" t="s">
        <v>25</v>
      </c>
      <c r="D119" t="s">
        <v>57</v>
      </c>
      <c r="E119" t="s">
        <v>30</v>
      </c>
      <c r="F119" t="s">
        <v>31</v>
      </c>
      <c r="G119">
        <v>398</v>
      </c>
      <c r="H119" s="3">
        <v>115240.31</v>
      </c>
      <c r="I119" s="3">
        <v>45865643.380000003</v>
      </c>
      <c r="J119" t="s">
        <v>32</v>
      </c>
      <c r="K119" s="2">
        <v>45663</v>
      </c>
      <c r="L119" s="3">
        <v>37381277.25</v>
      </c>
      <c r="M119" t="s">
        <v>215</v>
      </c>
      <c r="N119" t="str">
        <f>VLOOKUP(Purchase[[#This Row],[Supplier_ID]],Supplier[],MATCH(Purchase[[#Headers],[Supplier_Name]],Supplier[#Headers],0),0)</f>
        <v>BHP Supplies</v>
      </c>
    </row>
    <row r="120" spans="1:14" x14ac:dyDescent="0.25">
      <c r="A120" t="s">
        <v>160</v>
      </c>
      <c r="B120" s="2">
        <v>45681</v>
      </c>
      <c r="C120" t="s">
        <v>25</v>
      </c>
      <c r="D120" t="s">
        <v>26</v>
      </c>
      <c r="E120" t="s">
        <v>22</v>
      </c>
      <c r="F120" t="s">
        <v>23</v>
      </c>
      <c r="G120">
        <v>99</v>
      </c>
      <c r="H120" s="3">
        <v>88779.03</v>
      </c>
      <c r="I120" s="3">
        <v>8789123.9700000007</v>
      </c>
      <c r="J120" t="s">
        <v>18</v>
      </c>
      <c r="K120" s="2">
        <v>45701</v>
      </c>
      <c r="L120" s="3">
        <v>14619483.789999999</v>
      </c>
      <c r="M120" t="s">
        <v>217</v>
      </c>
      <c r="N120" t="str">
        <f>VLOOKUP(Purchase[[#This Row],[Supplier_ID]],Supplier[],MATCH(Purchase[[#Headers],[Supplier_Name]],Supplier[#Headers],0),0)</f>
        <v>Siemens India</v>
      </c>
    </row>
    <row r="121" spans="1:14" x14ac:dyDescent="0.25">
      <c r="A121" t="s">
        <v>161</v>
      </c>
      <c r="B121" s="2">
        <v>45663</v>
      </c>
      <c r="C121" t="s">
        <v>25</v>
      </c>
      <c r="D121" t="s">
        <v>57</v>
      </c>
      <c r="E121" t="s">
        <v>30</v>
      </c>
      <c r="F121" t="s">
        <v>31</v>
      </c>
      <c r="G121">
        <v>424</v>
      </c>
      <c r="H121" s="3">
        <v>144556.35</v>
      </c>
      <c r="I121" s="3">
        <v>61291892.399999999</v>
      </c>
      <c r="J121" t="s">
        <v>32</v>
      </c>
      <c r="K121" s="2">
        <v>45773</v>
      </c>
      <c r="L121" s="3">
        <v>20942579.57</v>
      </c>
      <c r="M121" t="s">
        <v>213</v>
      </c>
      <c r="N121" t="str">
        <f>VLOOKUP(Purchase[[#This Row],[Supplier_ID]],Supplier[],MATCH(Purchase[[#Headers],[Supplier_Name]],Supplier[#Headers],0),0)</f>
        <v>BHP Supplies</v>
      </c>
    </row>
    <row r="122" spans="1:14" x14ac:dyDescent="0.25">
      <c r="A122" t="s">
        <v>162</v>
      </c>
      <c r="B122" s="2">
        <v>45754</v>
      </c>
      <c r="C122" t="s">
        <v>62</v>
      </c>
      <c r="D122" t="s">
        <v>63</v>
      </c>
      <c r="E122" t="s">
        <v>12</v>
      </c>
      <c r="F122" t="s">
        <v>13</v>
      </c>
      <c r="G122">
        <v>391</v>
      </c>
      <c r="H122" s="3">
        <v>133421.19</v>
      </c>
      <c r="I122" s="3">
        <v>52167685.289999999</v>
      </c>
      <c r="J122" t="s">
        <v>18</v>
      </c>
      <c r="K122" s="2">
        <v>45675</v>
      </c>
      <c r="L122" s="3">
        <v>6687962.3399999999</v>
      </c>
      <c r="M122" t="s">
        <v>215</v>
      </c>
      <c r="N122" t="str">
        <f>VLOOKUP(Purchase[[#This Row],[Supplier_ID]],Supplier[],MATCH(Purchase[[#Headers],[Supplier_Name]],Supplier[#Headers],0),0)</f>
        <v>Hitachi</v>
      </c>
    </row>
    <row r="123" spans="1:14" x14ac:dyDescent="0.25">
      <c r="A123" t="s">
        <v>163</v>
      </c>
      <c r="B123" s="2">
        <v>45750</v>
      </c>
      <c r="C123" t="s">
        <v>10</v>
      </c>
      <c r="D123" t="s">
        <v>11</v>
      </c>
      <c r="E123" t="s">
        <v>12</v>
      </c>
      <c r="F123" t="s">
        <v>13</v>
      </c>
      <c r="G123">
        <v>152</v>
      </c>
      <c r="H123" s="3">
        <v>145698.79</v>
      </c>
      <c r="I123" s="3">
        <v>22146216.079999998</v>
      </c>
      <c r="J123" t="s">
        <v>14</v>
      </c>
      <c r="K123" s="2">
        <v>45819</v>
      </c>
      <c r="L123" s="3">
        <v>32690110.449999999</v>
      </c>
      <c r="M123" t="s">
        <v>215</v>
      </c>
      <c r="N123" t="str">
        <f>VLOOKUP(Purchase[[#This Row],[Supplier_ID]],Supplier[],MATCH(Purchase[[#Headers],[Supplier_Name]],Supplier[#Headers],0),0)</f>
        <v>Hitachi</v>
      </c>
    </row>
    <row r="124" spans="1:14" x14ac:dyDescent="0.25">
      <c r="A124" t="s">
        <v>164</v>
      </c>
      <c r="B124" s="2">
        <v>45756</v>
      </c>
      <c r="C124" t="s">
        <v>46</v>
      </c>
      <c r="D124" t="s">
        <v>55</v>
      </c>
      <c r="E124" t="s">
        <v>22</v>
      </c>
      <c r="F124" t="s">
        <v>23</v>
      </c>
      <c r="G124">
        <v>148</v>
      </c>
      <c r="H124" s="3">
        <v>224713.58</v>
      </c>
      <c r="I124" s="3">
        <v>33257609.84</v>
      </c>
      <c r="J124" t="s">
        <v>18</v>
      </c>
      <c r="K124" s="2">
        <v>45676</v>
      </c>
      <c r="L124" s="3">
        <v>230513.12</v>
      </c>
      <c r="M124" t="s">
        <v>213</v>
      </c>
      <c r="N124" t="str">
        <f>VLOOKUP(Purchase[[#This Row],[Supplier_ID]],Supplier[],MATCH(Purchase[[#Headers],[Supplier_Name]],Supplier[#Headers],0),0)</f>
        <v>Siemens India</v>
      </c>
    </row>
    <row r="125" spans="1:14" x14ac:dyDescent="0.25">
      <c r="A125" t="s">
        <v>165</v>
      </c>
      <c r="B125" s="2">
        <v>45663</v>
      </c>
      <c r="C125" t="s">
        <v>46</v>
      </c>
      <c r="D125" t="s">
        <v>47</v>
      </c>
      <c r="E125" t="s">
        <v>12</v>
      </c>
      <c r="F125" t="s">
        <v>13</v>
      </c>
      <c r="G125">
        <v>498</v>
      </c>
      <c r="H125" s="3">
        <v>81443.92</v>
      </c>
      <c r="I125" s="3">
        <v>40559072.159999996</v>
      </c>
      <c r="J125" t="s">
        <v>14</v>
      </c>
      <c r="K125" s="2">
        <v>45740</v>
      </c>
      <c r="L125" s="3">
        <v>5407496.3499999996</v>
      </c>
      <c r="M125" t="s">
        <v>213</v>
      </c>
      <c r="N125" t="str">
        <f>VLOOKUP(Purchase[[#This Row],[Supplier_ID]],Supplier[],MATCH(Purchase[[#Headers],[Supplier_Name]],Supplier[#Headers],0),0)</f>
        <v>Hitachi</v>
      </c>
    </row>
    <row r="126" spans="1:14" x14ac:dyDescent="0.25">
      <c r="A126" t="s">
        <v>166</v>
      </c>
      <c r="B126" s="2">
        <v>45779</v>
      </c>
      <c r="C126" t="s">
        <v>20</v>
      </c>
      <c r="D126" t="s">
        <v>43</v>
      </c>
      <c r="E126" t="s">
        <v>50</v>
      </c>
      <c r="F126" t="s">
        <v>51</v>
      </c>
      <c r="G126">
        <v>401</v>
      </c>
      <c r="H126" s="3">
        <v>224445.65</v>
      </c>
      <c r="I126" s="3">
        <v>90002705.650000006</v>
      </c>
      <c r="J126" t="s">
        <v>32</v>
      </c>
      <c r="K126" s="2">
        <v>45799</v>
      </c>
      <c r="L126" s="3">
        <v>11290522.220000001</v>
      </c>
      <c r="M126" t="s">
        <v>217</v>
      </c>
      <c r="N126" t="str">
        <f>VLOOKUP(Purchase[[#This Row],[Supplier_ID]],Supplier[],MATCH(Purchase[[#Headers],[Supplier_Name]],Supplier[#Headers],0),0)</f>
        <v>DP World Industrial</v>
      </c>
    </row>
    <row r="127" spans="1:14" x14ac:dyDescent="0.25">
      <c r="A127" t="s">
        <v>167</v>
      </c>
      <c r="B127" s="2">
        <v>45793</v>
      </c>
      <c r="C127" t="s">
        <v>62</v>
      </c>
      <c r="D127" t="s">
        <v>77</v>
      </c>
      <c r="E127" t="s">
        <v>22</v>
      </c>
      <c r="F127" t="s">
        <v>23</v>
      </c>
      <c r="G127">
        <v>210</v>
      </c>
      <c r="H127" s="3">
        <v>232908.43</v>
      </c>
      <c r="I127" s="3">
        <v>48910770.299999997</v>
      </c>
      <c r="J127" t="s">
        <v>18</v>
      </c>
      <c r="K127" s="2">
        <v>45740</v>
      </c>
      <c r="L127" s="3">
        <v>29495671.210000001</v>
      </c>
      <c r="M127" t="s">
        <v>215</v>
      </c>
      <c r="N127" t="str">
        <f>VLOOKUP(Purchase[[#This Row],[Supplier_ID]],Supplier[],MATCH(Purchase[[#Headers],[Supplier_Name]],Supplier[#Headers],0),0)</f>
        <v>Siemens India</v>
      </c>
    </row>
    <row r="128" spans="1:14" x14ac:dyDescent="0.25">
      <c r="A128" t="s">
        <v>168</v>
      </c>
      <c r="B128" s="2">
        <v>45791</v>
      </c>
      <c r="C128" t="s">
        <v>62</v>
      </c>
      <c r="D128" t="s">
        <v>77</v>
      </c>
      <c r="E128" t="s">
        <v>22</v>
      </c>
      <c r="F128" t="s">
        <v>23</v>
      </c>
      <c r="G128">
        <v>124</v>
      </c>
      <c r="H128" s="3">
        <v>42822.7</v>
      </c>
      <c r="I128" s="3">
        <v>5310014.8</v>
      </c>
      <c r="J128" t="s">
        <v>32</v>
      </c>
      <c r="K128" s="2">
        <v>45756</v>
      </c>
      <c r="L128" s="3">
        <v>31234084.989999998</v>
      </c>
      <c r="M128" t="s">
        <v>213</v>
      </c>
      <c r="N128" t="str">
        <f>VLOOKUP(Purchase[[#This Row],[Supplier_ID]],Supplier[],MATCH(Purchase[[#Headers],[Supplier_Name]],Supplier[#Headers],0),0)</f>
        <v>Siemens India</v>
      </c>
    </row>
    <row r="129" spans="1:14" x14ac:dyDescent="0.25">
      <c r="A129" t="s">
        <v>169</v>
      </c>
      <c r="B129" s="2">
        <v>45658</v>
      </c>
      <c r="C129" t="s">
        <v>20</v>
      </c>
      <c r="D129" t="s">
        <v>43</v>
      </c>
      <c r="E129" t="s">
        <v>22</v>
      </c>
      <c r="F129" t="s">
        <v>23</v>
      </c>
      <c r="G129">
        <v>292</v>
      </c>
      <c r="H129" s="3">
        <v>195331.1</v>
      </c>
      <c r="I129" s="3">
        <v>57036681.200000003</v>
      </c>
      <c r="J129" t="s">
        <v>14</v>
      </c>
      <c r="K129" s="2">
        <v>45703</v>
      </c>
      <c r="L129" s="3">
        <v>6823960</v>
      </c>
      <c r="M129" t="s">
        <v>215</v>
      </c>
      <c r="N129" t="str">
        <f>VLOOKUP(Purchase[[#This Row],[Supplier_ID]],Supplier[],MATCH(Purchase[[#Headers],[Supplier_Name]],Supplier[#Headers],0),0)</f>
        <v>Siemens India</v>
      </c>
    </row>
    <row r="130" spans="1:14" x14ac:dyDescent="0.25">
      <c r="A130" t="s">
        <v>170</v>
      </c>
      <c r="B130" s="2">
        <v>45690</v>
      </c>
      <c r="C130" t="s">
        <v>25</v>
      </c>
      <c r="D130" t="s">
        <v>26</v>
      </c>
      <c r="E130" t="s">
        <v>50</v>
      </c>
      <c r="F130" t="s">
        <v>51</v>
      </c>
      <c r="G130">
        <v>376</v>
      </c>
      <c r="H130" s="3">
        <v>79426.649999999994</v>
      </c>
      <c r="I130" s="3">
        <v>29864420.399999999</v>
      </c>
      <c r="J130" t="s">
        <v>32</v>
      </c>
      <c r="K130" s="2">
        <v>45844</v>
      </c>
      <c r="L130" s="3">
        <v>7550722.7300000004</v>
      </c>
      <c r="M130" t="s">
        <v>215</v>
      </c>
      <c r="N130" t="str">
        <f>VLOOKUP(Purchase[[#This Row],[Supplier_ID]],Supplier[],MATCH(Purchase[[#Headers],[Supplier_Name]],Supplier[#Headers],0),0)</f>
        <v>DP World Industrial</v>
      </c>
    </row>
    <row r="131" spans="1:14" x14ac:dyDescent="0.25">
      <c r="A131" t="s">
        <v>171</v>
      </c>
      <c r="B131" s="2">
        <v>45676</v>
      </c>
      <c r="C131" t="s">
        <v>10</v>
      </c>
      <c r="D131" t="s">
        <v>41</v>
      </c>
      <c r="E131" t="s">
        <v>50</v>
      </c>
      <c r="F131" t="s">
        <v>51</v>
      </c>
      <c r="G131">
        <v>401</v>
      </c>
      <c r="H131" s="3">
        <v>32472.51</v>
      </c>
      <c r="I131" s="3">
        <v>13021476.51</v>
      </c>
      <c r="J131" t="s">
        <v>18</v>
      </c>
      <c r="K131" s="2">
        <v>45679</v>
      </c>
      <c r="L131" s="3">
        <v>31946683.82</v>
      </c>
      <c r="M131" t="s">
        <v>217</v>
      </c>
      <c r="N131" t="str">
        <f>VLOOKUP(Purchase[[#This Row],[Supplier_ID]],Supplier[],MATCH(Purchase[[#Headers],[Supplier_Name]],Supplier[#Headers],0),0)</f>
        <v>DP World Industrial</v>
      </c>
    </row>
    <row r="132" spans="1:14" x14ac:dyDescent="0.25">
      <c r="A132" t="s">
        <v>172</v>
      </c>
      <c r="B132" s="2">
        <v>45811</v>
      </c>
      <c r="C132" t="s">
        <v>28</v>
      </c>
      <c r="D132" t="s">
        <v>29</v>
      </c>
      <c r="E132" t="s">
        <v>12</v>
      </c>
      <c r="F132" t="s">
        <v>13</v>
      </c>
      <c r="G132">
        <v>143</v>
      </c>
      <c r="H132" s="3">
        <v>59777.84</v>
      </c>
      <c r="I132" s="3">
        <v>8548231.1199999992</v>
      </c>
      <c r="J132" t="s">
        <v>14</v>
      </c>
      <c r="K132" s="2">
        <v>45863</v>
      </c>
      <c r="L132" s="3">
        <v>13561031.1</v>
      </c>
      <c r="M132" t="s">
        <v>213</v>
      </c>
      <c r="N132" t="str">
        <f>VLOOKUP(Purchase[[#This Row],[Supplier_ID]],Supplier[],MATCH(Purchase[[#Headers],[Supplier_Name]],Supplier[#Headers],0),0)</f>
        <v>Hitachi</v>
      </c>
    </row>
    <row r="133" spans="1:14" x14ac:dyDescent="0.25">
      <c r="A133" t="s">
        <v>173</v>
      </c>
      <c r="B133" s="2">
        <v>45823</v>
      </c>
      <c r="C133" t="s">
        <v>20</v>
      </c>
      <c r="D133" t="s">
        <v>43</v>
      </c>
      <c r="E133" t="s">
        <v>12</v>
      </c>
      <c r="F133" t="s">
        <v>13</v>
      </c>
      <c r="G133">
        <v>152</v>
      </c>
      <c r="H133" s="3">
        <v>239940.29</v>
      </c>
      <c r="I133" s="3">
        <v>36470924.079999998</v>
      </c>
      <c r="J133" t="s">
        <v>14</v>
      </c>
      <c r="K133" s="2">
        <v>45665</v>
      </c>
      <c r="L133" s="3">
        <v>2900915.1</v>
      </c>
      <c r="M133" t="s">
        <v>217</v>
      </c>
      <c r="N133" t="str">
        <f>VLOOKUP(Purchase[[#This Row],[Supplier_ID]],Supplier[],MATCH(Purchase[[#Headers],[Supplier_Name]],Supplier[#Headers],0),0)</f>
        <v>Hitachi</v>
      </c>
    </row>
    <row r="134" spans="1:14" x14ac:dyDescent="0.25">
      <c r="A134" t="s">
        <v>174</v>
      </c>
      <c r="B134" s="2">
        <v>45763</v>
      </c>
      <c r="C134" t="s">
        <v>62</v>
      </c>
      <c r="D134" t="s">
        <v>77</v>
      </c>
      <c r="E134" t="s">
        <v>16</v>
      </c>
      <c r="F134" t="s">
        <v>17</v>
      </c>
      <c r="G134">
        <v>136</v>
      </c>
      <c r="H134" s="3">
        <v>12173.81</v>
      </c>
      <c r="I134" s="3">
        <v>1655638.16</v>
      </c>
      <c r="J134" t="s">
        <v>32</v>
      </c>
      <c r="K134" s="2">
        <v>45752</v>
      </c>
      <c r="L134" s="3">
        <v>29776740.829999998</v>
      </c>
      <c r="M134" t="s">
        <v>217</v>
      </c>
      <c r="N134" t="str">
        <f>VLOOKUP(Purchase[[#This Row],[Supplier_ID]],Supplier[],MATCH(Purchase[[#Headers],[Supplier_Name]],Supplier[#Headers],0),0)</f>
        <v>Schneider Electric</v>
      </c>
    </row>
    <row r="135" spans="1:14" x14ac:dyDescent="0.25">
      <c r="A135" t="s">
        <v>175</v>
      </c>
      <c r="B135" s="2">
        <v>45830</v>
      </c>
      <c r="C135" t="s">
        <v>46</v>
      </c>
      <c r="D135" t="s">
        <v>47</v>
      </c>
      <c r="E135" t="s">
        <v>22</v>
      </c>
      <c r="F135" t="s">
        <v>23</v>
      </c>
      <c r="G135">
        <v>21</v>
      </c>
      <c r="H135" s="3">
        <v>52558.23</v>
      </c>
      <c r="I135" s="3">
        <v>1103722.83</v>
      </c>
      <c r="J135" t="s">
        <v>32</v>
      </c>
      <c r="K135" s="2">
        <v>45776</v>
      </c>
      <c r="L135" s="3">
        <v>30133885.170000002</v>
      </c>
      <c r="M135" t="s">
        <v>217</v>
      </c>
      <c r="N135" t="str">
        <f>VLOOKUP(Purchase[[#This Row],[Supplier_ID]],Supplier[],MATCH(Purchase[[#Headers],[Supplier_Name]],Supplier[#Headers],0),0)</f>
        <v>Siemens India</v>
      </c>
    </row>
    <row r="136" spans="1:14" x14ac:dyDescent="0.25">
      <c r="A136" t="s">
        <v>176</v>
      </c>
      <c r="B136" s="2">
        <v>45752</v>
      </c>
      <c r="C136" t="s">
        <v>62</v>
      </c>
      <c r="D136" t="s">
        <v>77</v>
      </c>
      <c r="E136" t="s">
        <v>30</v>
      </c>
      <c r="F136" t="s">
        <v>31</v>
      </c>
      <c r="G136">
        <v>126</v>
      </c>
      <c r="H136" s="3">
        <v>168501.99</v>
      </c>
      <c r="I136" s="3">
        <v>21231250.739999998</v>
      </c>
      <c r="J136" t="s">
        <v>14</v>
      </c>
      <c r="K136" s="2">
        <v>45850</v>
      </c>
      <c r="L136" s="3">
        <v>24693297.91</v>
      </c>
      <c r="M136" t="s">
        <v>215</v>
      </c>
      <c r="N136" t="str">
        <f>VLOOKUP(Purchase[[#This Row],[Supplier_ID]],Supplier[],MATCH(Purchase[[#Headers],[Supplier_Name]],Supplier[#Headers],0),0)</f>
        <v>BHP Supplies</v>
      </c>
    </row>
    <row r="137" spans="1:14" x14ac:dyDescent="0.25">
      <c r="A137" t="s">
        <v>177</v>
      </c>
      <c r="B137" s="2">
        <v>45750</v>
      </c>
      <c r="C137" t="s">
        <v>62</v>
      </c>
      <c r="D137" t="s">
        <v>77</v>
      </c>
      <c r="E137" t="s">
        <v>50</v>
      </c>
      <c r="F137" t="s">
        <v>51</v>
      </c>
      <c r="G137">
        <v>183</v>
      </c>
      <c r="H137" s="3">
        <v>180991.4</v>
      </c>
      <c r="I137" s="3">
        <v>33121426.199999999</v>
      </c>
      <c r="J137" t="s">
        <v>32</v>
      </c>
      <c r="K137" s="2">
        <v>45663</v>
      </c>
      <c r="L137" s="3">
        <v>2295698.91</v>
      </c>
      <c r="M137" t="s">
        <v>217</v>
      </c>
      <c r="N137" t="str">
        <f>VLOOKUP(Purchase[[#This Row],[Supplier_ID]],Supplier[],MATCH(Purchase[[#Headers],[Supplier_Name]],Supplier[#Headers],0),0)</f>
        <v>DP World Industrial</v>
      </c>
    </row>
    <row r="138" spans="1:14" x14ac:dyDescent="0.25">
      <c r="A138" t="s">
        <v>178</v>
      </c>
      <c r="B138" s="2">
        <v>45787</v>
      </c>
      <c r="C138" t="s">
        <v>62</v>
      </c>
      <c r="D138" t="s">
        <v>77</v>
      </c>
      <c r="E138" t="s">
        <v>22</v>
      </c>
      <c r="F138" t="s">
        <v>23</v>
      </c>
      <c r="G138">
        <v>418</v>
      </c>
      <c r="H138" s="3">
        <v>76567.25</v>
      </c>
      <c r="I138" s="3">
        <v>32005110.5</v>
      </c>
      <c r="J138" t="s">
        <v>14</v>
      </c>
      <c r="K138" s="2">
        <v>45669</v>
      </c>
      <c r="L138" s="3">
        <v>20358837.350000001</v>
      </c>
      <c r="M138" t="s">
        <v>215</v>
      </c>
      <c r="N138" t="str">
        <f>VLOOKUP(Purchase[[#This Row],[Supplier_ID]],Supplier[],MATCH(Purchase[[#Headers],[Supplier_Name]],Supplier[#Headers],0),0)</f>
        <v>Siemens India</v>
      </c>
    </row>
    <row r="139" spans="1:14" x14ac:dyDescent="0.25">
      <c r="A139" t="s">
        <v>179</v>
      </c>
      <c r="B139" s="2">
        <v>45707</v>
      </c>
      <c r="C139" t="s">
        <v>25</v>
      </c>
      <c r="D139" t="s">
        <v>57</v>
      </c>
      <c r="E139" t="s">
        <v>38</v>
      </c>
      <c r="F139" t="s">
        <v>39</v>
      </c>
      <c r="G139">
        <v>169</v>
      </c>
      <c r="H139" s="3">
        <v>192634.99</v>
      </c>
      <c r="I139" s="3">
        <v>32555313.309999999</v>
      </c>
      <c r="J139" t="s">
        <v>14</v>
      </c>
      <c r="K139" s="2">
        <v>45703</v>
      </c>
      <c r="L139" s="3">
        <v>3013121.09</v>
      </c>
      <c r="M139" t="s">
        <v>215</v>
      </c>
      <c r="N139" t="str">
        <f>VLOOKUP(Purchase[[#This Row],[Supplier_ID]],Supplier[],MATCH(Purchase[[#Headers],[Supplier_Name]],Supplier[#Headers],0),0)</f>
        <v>Shanghai Solar Tech</v>
      </c>
    </row>
    <row r="140" spans="1:14" x14ac:dyDescent="0.25">
      <c r="A140" t="s">
        <v>180</v>
      </c>
      <c r="B140" s="2">
        <v>45685</v>
      </c>
      <c r="C140" t="s">
        <v>62</v>
      </c>
      <c r="D140" t="s">
        <v>77</v>
      </c>
      <c r="E140" t="s">
        <v>30</v>
      </c>
      <c r="F140" t="s">
        <v>31</v>
      </c>
      <c r="G140">
        <v>399</v>
      </c>
      <c r="H140" s="3">
        <v>222886.8</v>
      </c>
      <c r="I140" s="3">
        <v>88931833.200000003</v>
      </c>
      <c r="J140" t="s">
        <v>32</v>
      </c>
      <c r="K140" s="2">
        <v>45666</v>
      </c>
      <c r="L140" s="3">
        <v>30670715.43</v>
      </c>
      <c r="M140" t="s">
        <v>217</v>
      </c>
      <c r="N140" t="str">
        <f>VLOOKUP(Purchase[[#This Row],[Supplier_ID]],Supplier[],MATCH(Purchase[[#Headers],[Supplier_Name]],Supplier[#Headers],0),0)</f>
        <v>BHP Supplies</v>
      </c>
    </row>
    <row r="141" spans="1:14" x14ac:dyDescent="0.25">
      <c r="A141" t="s">
        <v>181</v>
      </c>
      <c r="B141" s="2">
        <v>45828</v>
      </c>
      <c r="C141" t="s">
        <v>62</v>
      </c>
      <c r="D141" t="s">
        <v>77</v>
      </c>
      <c r="E141" t="s">
        <v>38</v>
      </c>
      <c r="F141" t="s">
        <v>39</v>
      </c>
      <c r="G141">
        <v>258</v>
      </c>
      <c r="H141" s="3">
        <v>107172.13</v>
      </c>
      <c r="I141" s="3">
        <v>27650409.539999999</v>
      </c>
      <c r="J141" t="s">
        <v>14</v>
      </c>
      <c r="K141" s="2">
        <v>45713</v>
      </c>
      <c r="L141" s="3">
        <v>7199100.5899999999</v>
      </c>
      <c r="M141" t="s">
        <v>215</v>
      </c>
      <c r="N141" t="str">
        <f>VLOOKUP(Purchase[[#This Row],[Supplier_ID]],Supplier[],MATCH(Purchase[[#Headers],[Supplier_Name]],Supplier[#Headers],0),0)</f>
        <v>Shanghai Solar Tech</v>
      </c>
    </row>
    <row r="142" spans="1:14" x14ac:dyDescent="0.25">
      <c r="A142" t="s">
        <v>182</v>
      </c>
      <c r="B142" s="2">
        <v>45810</v>
      </c>
      <c r="C142" t="s">
        <v>28</v>
      </c>
      <c r="D142" t="s">
        <v>29</v>
      </c>
      <c r="E142" t="s">
        <v>12</v>
      </c>
      <c r="F142" t="s">
        <v>13</v>
      </c>
      <c r="G142">
        <v>37</v>
      </c>
      <c r="H142" s="3">
        <v>57172.52</v>
      </c>
      <c r="I142" s="3">
        <v>2115383.2400000002</v>
      </c>
      <c r="J142" t="s">
        <v>14</v>
      </c>
      <c r="K142" s="2">
        <v>45795</v>
      </c>
      <c r="L142" s="3">
        <v>30443340.190000001</v>
      </c>
      <c r="M142" t="s">
        <v>217</v>
      </c>
      <c r="N142" t="str">
        <f>VLOOKUP(Purchase[[#This Row],[Supplier_ID]],Supplier[],MATCH(Purchase[[#Headers],[Supplier_Name]],Supplier[#Headers],0),0)</f>
        <v>Hitachi</v>
      </c>
    </row>
    <row r="143" spans="1:14" x14ac:dyDescent="0.25">
      <c r="A143" t="s">
        <v>183</v>
      </c>
      <c r="B143" s="2">
        <v>45773</v>
      </c>
      <c r="C143" t="s">
        <v>62</v>
      </c>
      <c r="D143" t="s">
        <v>77</v>
      </c>
      <c r="E143" t="s">
        <v>50</v>
      </c>
      <c r="F143" t="s">
        <v>51</v>
      </c>
      <c r="G143">
        <v>40</v>
      </c>
      <c r="H143" s="3">
        <v>50105.68</v>
      </c>
      <c r="I143" s="3">
        <v>2004227.2</v>
      </c>
      <c r="J143" t="s">
        <v>32</v>
      </c>
      <c r="K143" s="2">
        <v>45828</v>
      </c>
      <c r="L143" s="3">
        <v>32114341.390000001</v>
      </c>
      <c r="M143" t="s">
        <v>217</v>
      </c>
      <c r="N143" t="str">
        <f>VLOOKUP(Purchase[[#This Row],[Supplier_ID]],Supplier[],MATCH(Purchase[[#Headers],[Supplier_Name]],Supplier[#Headers],0),0)</f>
        <v>DP World Industrial</v>
      </c>
    </row>
    <row r="144" spans="1:14" x14ac:dyDescent="0.25">
      <c r="A144" t="s">
        <v>184</v>
      </c>
      <c r="B144" s="2">
        <v>45706</v>
      </c>
      <c r="C144" t="s">
        <v>10</v>
      </c>
      <c r="D144" t="s">
        <v>11</v>
      </c>
      <c r="E144" t="s">
        <v>22</v>
      </c>
      <c r="F144" t="s">
        <v>23</v>
      </c>
      <c r="G144">
        <v>486</v>
      </c>
      <c r="H144" s="3">
        <v>45580.27</v>
      </c>
      <c r="I144" s="3">
        <v>22152011.219999999</v>
      </c>
      <c r="J144" t="s">
        <v>14</v>
      </c>
      <c r="K144" s="2">
        <v>45707</v>
      </c>
      <c r="L144" s="3">
        <v>25477943.170000002</v>
      </c>
      <c r="M144" t="s">
        <v>215</v>
      </c>
      <c r="N144" t="str">
        <f>VLOOKUP(Purchase[[#This Row],[Supplier_ID]],Supplier[],MATCH(Purchase[[#Headers],[Supplier_Name]],Supplier[#Headers],0),0)</f>
        <v>Siemens India</v>
      </c>
    </row>
    <row r="145" spans="1:14" x14ac:dyDescent="0.25">
      <c r="A145" t="s">
        <v>185</v>
      </c>
      <c r="B145" s="2">
        <v>45754</v>
      </c>
      <c r="C145" t="s">
        <v>46</v>
      </c>
      <c r="D145" t="s">
        <v>47</v>
      </c>
      <c r="E145" t="s">
        <v>22</v>
      </c>
      <c r="F145" t="s">
        <v>23</v>
      </c>
      <c r="G145">
        <v>169</v>
      </c>
      <c r="H145" s="3">
        <v>167785.32</v>
      </c>
      <c r="I145" s="3">
        <v>28355719.079999998</v>
      </c>
      <c r="J145" t="s">
        <v>18</v>
      </c>
      <c r="K145" s="2">
        <v>45739</v>
      </c>
      <c r="L145" s="3">
        <v>31335594.359999999</v>
      </c>
      <c r="M145" t="s">
        <v>217</v>
      </c>
      <c r="N145" t="str">
        <f>VLOOKUP(Purchase[[#This Row],[Supplier_ID]],Supplier[],MATCH(Purchase[[#Headers],[Supplier_Name]],Supplier[#Headers],0),0)</f>
        <v>Siemens India</v>
      </c>
    </row>
    <row r="146" spans="1:14" x14ac:dyDescent="0.25">
      <c r="A146" t="s">
        <v>186</v>
      </c>
      <c r="B146" s="2">
        <v>45729</v>
      </c>
      <c r="C146" t="s">
        <v>10</v>
      </c>
      <c r="D146" t="s">
        <v>41</v>
      </c>
      <c r="E146" t="s">
        <v>38</v>
      </c>
      <c r="F146" t="s">
        <v>39</v>
      </c>
      <c r="G146">
        <v>65</v>
      </c>
      <c r="H146" s="3">
        <v>5703.33</v>
      </c>
      <c r="I146" s="3">
        <v>370716.45</v>
      </c>
      <c r="J146" t="s">
        <v>14</v>
      </c>
      <c r="K146" s="2">
        <v>45863</v>
      </c>
      <c r="L146" s="3">
        <v>23948470.91</v>
      </c>
      <c r="M146" t="s">
        <v>217</v>
      </c>
      <c r="N146" t="str">
        <f>VLOOKUP(Purchase[[#This Row],[Supplier_ID]],Supplier[],MATCH(Purchase[[#Headers],[Supplier_Name]],Supplier[#Headers],0),0)</f>
        <v>Shanghai Solar Tech</v>
      </c>
    </row>
    <row r="147" spans="1:14" x14ac:dyDescent="0.25">
      <c r="A147" t="s">
        <v>187</v>
      </c>
      <c r="B147" s="2">
        <v>45711</v>
      </c>
      <c r="C147" t="s">
        <v>10</v>
      </c>
      <c r="D147" t="s">
        <v>41</v>
      </c>
      <c r="E147" t="s">
        <v>22</v>
      </c>
      <c r="F147" t="s">
        <v>23</v>
      </c>
      <c r="G147">
        <v>297</v>
      </c>
      <c r="H147" s="3">
        <v>241246.45</v>
      </c>
      <c r="I147" s="3">
        <v>71650195.650000006</v>
      </c>
      <c r="J147" t="s">
        <v>18</v>
      </c>
      <c r="K147" s="2">
        <v>45664</v>
      </c>
      <c r="L147" s="3">
        <v>18820421.170000002</v>
      </c>
      <c r="M147" t="s">
        <v>213</v>
      </c>
      <c r="N147" t="str">
        <f>VLOOKUP(Purchase[[#This Row],[Supplier_ID]],Supplier[],MATCH(Purchase[[#Headers],[Supplier_Name]],Supplier[#Headers],0),0)</f>
        <v>Siemens India</v>
      </c>
    </row>
    <row r="148" spans="1:14" x14ac:dyDescent="0.25">
      <c r="A148" t="s">
        <v>188</v>
      </c>
      <c r="B148" s="2">
        <v>45779</v>
      </c>
      <c r="C148" t="s">
        <v>10</v>
      </c>
      <c r="D148" t="s">
        <v>41</v>
      </c>
      <c r="E148" t="s">
        <v>12</v>
      </c>
      <c r="F148" t="s">
        <v>13</v>
      </c>
      <c r="G148">
        <v>54</v>
      </c>
      <c r="H148" s="3">
        <v>17068.05</v>
      </c>
      <c r="I148" s="3">
        <v>921674.7</v>
      </c>
      <c r="J148" t="s">
        <v>14</v>
      </c>
      <c r="K148" s="2">
        <v>45853</v>
      </c>
      <c r="L148" s="3">
        <v>45621759.840000004</v>
      </c>
      <c r="M148" t="s">
        <v>215</v>
      </c>
      <c r="N148" t="str">
        <f>VLOOKUP(Purchase[[#This Row],[Supplier_ID]],Supplier[],MATCH(Purchase[[#Headers],[Supplier_Name]],Supplier[#Headers],0),0)</f>
        <v>Hitachi</v>
      </c>
    </row>
    <row r="149" spans="1:14" x14ac:dyDescent="0.25">
      <c r="A149" t="s">
        <v>189</v>
      </c>
      <c r="B149" s="2">
        <v>45779</v>
      </c>
      <c r="C149" t="s">
        <v>10</v>
      </c>
      <c r="D149" t="s">
        <v>41</v>
      </c>
      <c r="E149" t="s">
        <v>38</v>
      </c>
      <c r="F149" t="s">
        <v>39</v>
      </c>
      <c r="G149">
        <v>175</v>
      </c>
      <c r="H149" s="3">
        <v>94240.97</v>
      </c>
      <c r="I149" s="3">
        <v>16492169.75</v>
      </c>
      <c r="J149" t="s">
        <v>14</v>
      </c>
      <c r="K149" s="2">
        <v>45852</v>
      </c>
      <c r="L149" s="3">
        <v>32811009.91</v>
      </c>
      <c r="M149" t="s">
        <v>215</v>
      </c>
      <c r="N149" t="str">
        <f>VLOOKUP(Purchase[[#This Row],[Supplier_ID]],Supplier[],MATCH(Purchase[[#Headers],[Supplier_Name]],Supplier[#Headers],0),0)</f>
        <v>Shanghai Solar Tech</v>
      </c>
    </row>
    <row r="150" spans="1:14" x14ac:dyDescent="0.25">
      <c r="A150" t="s">
        <v>190</v>
      </c>
      <c r="B150" s="2">
        <v>45761</v>
      </c>
      <c r="C150" t="s">
        <v>46</v>
      </c>
      <c r="D150" t="s">
        <v>47</v>
      </c>
      <c r="E150" t="s">
        <v>38</v>
      </c>
      <c r="F150" t="s">
        <v>39</v>
      </c>
      <c r="G150">
        <v>425</v>
      </c>
      <c r="H150" s="3">
        <v>158225.03</v>
      </c>
      <c r="I150" s="3">
        <v>67245637.75</v>
      </c>
      <c r="J150" t="s">
        <v>14</v>
      </c>
      <c r="K150" s="2">
        <v>45720</v>
      </c>
      <c r="L150" s="3">
        <v>49830862.869999997</v>
      </c>
      <c r="M150" t="s">
        <v>213</v>
      </c>
      <c r="N150" t="str">
        <f>VLOOKUP(Purchase[[#This Row],[Supplier_ID]],Supplier[],MATCH(Purchase[[#Headers],[Supplier_Name]],Supplier[#Headers],0),0)</f>
        <v>Shanghai Solar Tech</v>
      </c>
    </row>
    <row r="151" spans="1:14" x14ac:dyDescent="0.25">
      <c r="A151" t="s">
        <v>191</v>
      </c>
      <c r="B151" s="2">
        <v>45673</v>
      </c>
      <c r="C151" t="s">
        <v>62</v>
      </c>
      <c r="D151" t="s">
        <v>77</v>
      </c>
      <c r="E151" t="s">
        <v>12</v>
      </c>
      <c r="F151" t="s">
        <v>13</v>
      </c>
      <c r="G151">
        <v>42</v>
      </c>
      <c r="H151" s="3">
        <v>201817.83</v>
      </c>
      <c r="I151" s="3">
        <v>8476348.8599999994</v>
      </c>
      <c r="J151" t="s">
        <v>18</v>
      </c>
      <c r="K151" s="2">
        <v>45722</v>
      </c>
      <c r="L151" s="3">
        <v>32236585.68</v>
      </c>
      <c r="M151" t="s">
        <v>215</v>
      </c>
      <c r="N151" t="str">
        <f>VLOOKUP(Purchase[[#This Row],[Supplier_ID]],Supplier[],MATCH(Purchase[[#Headers],[Supplier_Name]],Supplier[#Headers],0),0)</f>
        <v>Hitachi</v>
      </c>
    </row>
    <row r="152" spans="1:14" x14ac:dyDescent="0.25">
      <c r="B152" s="2"/>
      <c r="H152" s="3"/>
      <c r="I152" s="3"/>
    </row>
  </sheetData>
  <phoneticPr fontId="2" type="noConversion"/>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4F2C3-889D-4925-844A-B34325202974}">
  <dimension ref="A1:B95"/>
  <sheetViews>
    <sheetView topLeftCell="A11" zoomScale="98" zoomScaleNormal="98" workbookViewId="0">
      <selection activeCell="A25" sqref="A25"/>
    </sheetView>
  </sheetViews>
  <sheetFormatPr defaultRowHeight="15" x14ac:dyDescent="0.25"/>
  <cols>
    <col min="1" max="1" width="16" bestFit="1" customWidth="1"/>
    <col min="2" max="2" width="18.140625" bestFit="1" customWidth="1"/>
    <col min="3" max="3" width="12.28515625" bestFit="1" customWidth="1"/>
    <col min="4" max="4" width="12" customWidth="1"/>
    <col min="5" max="5" width="12.5703125" customWidth="1"/>
    <col min="6" max="6" width="12.28515625" customWidth="1"/>
    <col min="7" max="7" width="10" bestFit="1" customWidth="1"/>
    <col min="8" max="8" width="11.28515625" bestFit="1" customWidth="1"/>
    <col min="9" max="9" width="12" bestFit="1" customWidth="1"/>
    <col min="10" max="111" width="16.28515625" bestFit="1" customWidth="1"/>
    <col min="112" max="113" width="11.28515625" bestFit="1" customWidth="1"/>
  </cols>
  <sheetData>
    <row r="1" spans="1:2" x14ac:dyDescent="0.25">
      <c r="A1" t="s">
        <v>386</v>
      </c>
    </row>
    <row r="3" spans="1:2" x14ac:dyDescent="0.25">
      <c r="A3" s="5" t="s">
        <v>382</v>
      </c>
      <c r="B3" t="s">
        <v>381</v>
      </c>
    </row>
    <row r="4" spans="1:2" x14ac:dyDescent="0.25">
      <c r="A4" s="6" t="s">
        <v>10</v>
      </c>
      <c r="B4" s="3">
        <v>883362316.23000014</v>
      </c>
    </row>
    <row r="5" spans="1:2" x14ac:dyDescent="0.25">
      <c r="A5" s="6" t="s">
        <v>46</v>
      </c>
      <c r="B5" s="3">
        <v>1227464047.5800002</v>
      </c>
    </row>
    <row r="6" spans="1:2" x14ac:dyDescent="0.25">
      <c r="A6" s="6" t="s">
        <v>28</v>
      </c>
      <c r="B6" s="3">
        <v>558533881.42000008</v>
      </c>
    </row>
    <row r="7" spans="1:2" x14ac:dyDescent="0.25">
      <c r="A7" s="6" t="s">
        <v>62</v>
      </c>
      <c r="B7" s="3">
        <v>742136981.32000017</v>
      </c>
    </row>
    <row r="8" spans="1:2" x14ac:dyDescent="0.25">
      <c r="A8" s="6" t="s">
        <v>25</v>
      </c>
      <c r="B8" s="3">
        <v>573468419.76999998</v>
      </c>
    </row>
    <row r="9" spans="1:2" x14ac:dyDescent="0.25">
      <c r="A9" s="6" t="s">
        <v>20</v>
      </c>
      <c r="B9" s="3">
        <v>691747772.09000003</v>
      </c>
    </row>
    <row r="10" spans="1:2" x14ac:dyDescent="0.25">
      <c r="A10" s="6" t="s">
        <v>380</v>
      </c>
      <c r="B10" s="3">
        <v>4676713418.4100008</v>
      </c>
    </row>
    <row r="14" spans="1:2" x14ac:dyDescent="0.25">
      <c r="A14" s="6" t="s">
        <v>383</v>
      </c>
    </row>
    <row r="16" spans="1:2" x14ac:dyDescent="0.25">
      <c r="A16" s="5" t="s">
        <v>379</v>
      </c>
      <c r="B16" t="s">
        <v>381</v>
      </c>
    </row>
    <row r="17" spans="1:2" x14ac:dyDescent="0.25">
      <c r="A17" s="6" t="s">
        <v>31</v>
      </c>
      <c r="B17" s="3">
        <v>765292792.26000011</v>
      </c>
    </row>
    <row r="18" spans="1:2" x14ac:dyDescent="0.25">
      <c r="A18" s="6" t="s">
        <v>39</v>
      </c>
      <c r="B18" s="3">
        <v>831501622.00999999</v>
      </c>
    </row>
    <row r="19" spans="1:2" x14ac:dyDescent="0.25">
      <c r="A19" s="6" t="s">
        <v>17</v>
      </c>
      <c r="B19" s="3">
        <v>730145537.94000006</v>
      </c>
    </row>
    <row r="20" spans="1:2" x14ac:dyDescent="0.25">
      <c r="A20" s="6" t="s">
        <v>23</v>
      </c>
      <c r="B20" s="3">
        <v>1006107478.21</v>
      </c>
    </row>
    <row r="21" spans="1:2" x14ac:dyDescent="0.25">
      <c r="A21" s="6" t="s">
        <v>13</v>
      </c>
      <c r="B21" s="3">
        <v>866130980.98000014</v>
      </c>
    </row>
    <row r="22" spans="1:2" x14ac:dyDescent="0.25">
      <c r="A22" s="6" t="s">
        <v>51</v>
      </c>
      <c r="B22" s="3">
        <v>477535007.00999999</v>
      </c>
    </row>
    <row r="23" spans="1:2" x14ac:dyDescent="0.25">
      <c r="A23" s="6" t="s">
        <v>380</v>
      </c>
      <c r="B23" s="3">
        <v>4676713418.4099998</v>
      </c>
    </row>
    <row r="95" spans="1:1" x14ac:dyDescent="0.25">
      <c r="A95" t="s">
        <v>390</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3228B-1103-4B96-A385-E309EAED777B}">
  <dimension ref="A1:F11"/>
  <sheetViews>
    <sheetView workbookViewId="0">
      <selection activeCell="V1" sqref="V1:XFD1048576"/>
    </sheetView>
  </sheetViews>
  <sheetFormatPr defaultRowHeight="15" x14ac:dyDescent="0.25"/>
  <cols>
    <col min="1" max="1" width="18.7109375" bestFit="1" customWidth="1"/>
    <col min="2" max="2" width="16.28515625" bestFit="1" customWidth="1"/>
    <col min="3" max="3" width="7.140625" bestFit="1" customWidth="1"/>
    <col min="4" max="4" width="8.42578125" bestFit="1" customWidth="1"/>
    <col min="5" max="5" width="7.28515625" bestFit="1" customWidth="1"/>
    <col min="6" max="6" width="11.28515625" bestFit="1" customWidth="1"/>
    <col min="7" max="7" width="7.140625" bestFit="1" customWidth="1"/>
    <col min="8" max="9" width="11.28515625" bestFit="1" customWidth="1"/>
  </cols>
  <sheetData>
    <row r="1" spans="1:6" x14ac:dyDescent="0.25">
      <c r="A1" t="s">
        <v>391</v>
      </c>
    </row>
    <row r="3" spans="1:6" x14ac:dyDescent="0.25">
      <c r="A3" s="5" t="s">
        <v>381</v>
      </c>
      <c r="B3" s="5" t="s">
        <v>384</v>
      </c>
    </row>
    <row r="4" spans="1:6" x14ac:dyDescent="0.25">
      <c r="A4" s="5" t="s">
        <v>379</v>
      </c>
      <c r="B4" t="s">
        <v>46</v>
      </c>
      <c r="C4" t="s">
        <v>28</v>
      </c>
      <c r="D4" t="s">
        <v>62</v>
      </c>
      <c r="E4" t="s">
        <v>25</v>
      </c>
      <c r="F4" t="s">
        <v>380</v>
      </c>
    </row>
    <row r="5" spans="1:6" x14ac:dyDescent="0.25">
      <c r="A5" s="6" t="s">
        <v>203</v>
      </c>
      <c r="B5" s="7">
        <v>5.281557464836955E-2</v>
      </c>
      <c r="C5" s="7">
        <v>1.4784437208696639E-2</v>
      </c>
      <c r="D5" s="7">
        <v>6.5797941135844154E-2</v>
      </c>
      <c r="E5" s="7">
        <v>5.5690563739815117E-2</v>
      </c>
      <c r="F5" s="7">
        <v>0.18908851673272548</v>
      </c>
    </row>
    <row r="6" spans="1:6" x14ac:dyDescent="0.25">
      <c r="A6" s="6" t="s">
        <v>207</v>
      </c>
      <c r="B6" s="7">
        <v>3.0768235500711449E-2</v>
      </c>
      <c r="C6" s="7">
        <v>2.5768507656870755E-2</v>
      </c>
      <c r="D6" s="7">
        <v>1.7732650634729639E-2</v>
      </c>
      <c r="E6" s="7">
        <v>2.7367083261913106E-2</v>
      </c>
      <c r="F6" s="7">
        <v>0.10163647705422495</v>
      </c>
    </row>
    <row r="7" spans="1:6" x14ac:dyDescent="0.25">
      <c r="A7" s="6" t="s">
        <v>204</v>
      </c>
      <c r="B7" s="7">
        <v>0.10315760193961224</v>
      </c>
      <c r="C7" s="7">
        <v>4.4555442518818156E-2</v>
      </c>
      <c r="D7" s="7">
        <v>5.8740919279549941E-2</v>
      </c>
      <c r="E7" s="7">
        <v>1.480245116601283E-2</v>
      </c>
      <c r="F7" s="7">
        <v>0.22125641490399317</v>
      </c>
    </row>
    <row r="8" spans="1:6" x14ac:dyDescent="0.25">
      <c r="A8" s="6" t="s">
        <v>205</v>
      </c>
      <c r="B8" s="7">
        <v>0.10266199763551338</v>
      </c>
      <c r="C8" s="7">
        <v>7.5479881881996436E-3</v>
      </c>
      <c r="D8" s="7">
        <v>3.9311220412076998E-2</v>
      </c>
      <c r="E8" s="7">
        <v>2.0550514726249809E-2</v>
      </c>
      <c r="F8" s="7">
        <v>0.17007172096203985</v>
      </c>
    </row>
    <row r="9" spans="1:6" x14ac:dyDescent="0.25">
      <c r="A9" s="6" t="s">
        <v>201</v>
      </c>
      <c r="B9" s="7">
        <v>3.47991515429757E-2</v>
      </c>
      <c r="C9" s="7">
        <v>7.3926775747092888E-2</v>
      </c>
      <c r="D9" s="7">
        <v>2.9892114259275605E-2</v>
      </c>
      <c r="E9" s="7">
        <v>2.4710064100226539E-2</v>
      </c>
      <c r="F9" s="7">
        <v>0.16332810564957076</v>
      </c>
    </row>
    <row r="10" spans="1:6" x14ac:dyDescent="0.25">
      <c r="A10" s="6" t="s">
        <v>199</v>
      </c>
      <c r="B10" s="7">
        <v>7.1548899170017527E-2</v>
      </c>
      <c r="C10" s="7">
        <v>1.3495931005718052E-2</v>
      </c>
      <c r="D10" s="7">
        <v>2.7800426561154726E-2</v>
      </c>
      <c r="E10" s="7">
        <v>4.1773507960555477E-2</v>
      </c>
      <c r="F10" s="7">
        <v>0.15461876469744579</v>
      </c>
    </row>
    <row r="11" spans="1:6" x14ac:dyDescent="0.25">
      <c r="A11" s="6" t="s">
        <v>380</v>
      </c>
      <c r="B11" s="7">
        <v>0.39575146043719983</v>
      </c>
      <c r="C11" s="7">
        <v>0.18007908232539613</v>
      </c>
      <c r="D11" s="7">
        <v>0.23927527228263107</v>
      </c>
      <c r="E11" s="7">
        <v>0.18489418495477289</v>
      </c>
      <c r="F11" s="7">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D6DAA-1E0D-4A30-9E30-9891907447DE}">
  <dimension ref="A1:E11"/>
  <sheetViews>
    <sheetView topLeftCell="A6" workbookViewId="0">
      <selection activeCell="J20" sqref="J20"/>
    </sheetView>
  </sheetViews>
  <sheetFormatPr defaultRowHeight="15" x14ac:dyDescent="0.25"/>
  <cols>
    <col min="1" max="1" width="18.140625" bestFit="1" customWidth="1"/>
    <col min="2" max="2" width="16.28515625" bestFit="1" customWidth="1"/>
    <col min="3" max="3" width="9.140625" bestFit="1" customWidth="1"/>
    <col min="4" max="4" width="7.140625" bestFit="1" customWidth="1"/>
    <col min="5" max="6" width="11.28515625" bestFit="1" customWidth="1"/>
    <col min="7" max="7" width="16.28515625" bestFit="1" customWidth="1"/>
    <col min="8" max="9" width="11.28515625" bestFit="1" customWidth="1"/>
  </cols>
  <sheetData>
    <row r="1" spans="1:5" x14ac:dyDescent="0.25">
      <c r="A1" t="s">
        <v>393</v>
      </c>
    </row>
    <row r="3" spans="1:5" x14ac:dyDescent="0.25">
      <c r="A3" s="5" t="s">
        <v>381</v>
      </c>
      <c r="B3" s="5" t="s">
        <v>384</v>
      </c>
    </row>
    <row r="4" spans="1:5" x14ac:dyDescent="0.25">
      <c r="A4" s="5" t="s">
        <v>379</v>
      </c>
      <c r="B4" t="s">
        <v>18</v>
      </c>
      <c r="C4" t="s">
        <v>32</v>
      </c>
      <c r="D4" t="s">
        <v>14</v>
      </c>
      <c r="E4" t="s">
        <v>380</v>
      </c>
    </row>
    <row r="5" spans="1:5" x14ac:dyDescent="0.25">
      <c r="A5" s="6" t="s">
        <v>10</v>
      </c>
      <c r="B5" s="7">
        <v>0.37758405459663696</v>
      </c>
      <c r="C5" s="7">
        <v>0.28387522362308776</v>
      </c>
      <c r="D5" s="7">
        <v>0.33854072178027533</v>
      </c>
      <c r="E5" s="7">
        <v>1</v>
      </c>
    </row>
    <row r="6" spans="1:5" x14ac:dyDescent="0.25">
      <c r="A6" s="6" t="s">
        <v>46</v>
      </c>
      <c r="B6" s="7">
        <v>0.33954387682612475</v>
      </c>
      <c r="C6" s="7">
        <v>0.17697441276449449</v>
      </c>
      <c r="D6" s="7">
        <v>0.48348171040938082</v>
      </c>
      <c r="E6" s="7">
        <v>1</v>
      </c>
    </row>
    <row r="7" spans="1:5" x14ac:dyDescent="0.25">
      <c r="A7" s="6" t="s">
        <v>28</v>
      </c>
      <c r="B7" s="7">
        <v>0.37338282640937803</v>
      </c>
      <c r="C7" s="7">
        <v>0.21056450676008837</v>
      </c>
      <c r="D7" s="7">
        <v>0.41605266683053349</v>
      </c>
      <c r="E7" s="7">
        <v>1</v>
      </c>
    </row>
    <row r="8" spans="1:5" x14ac:dyDescent="0.25">
      <c r="A8" s="6" t="s">
        <v>62</v>
      </c>
      <c r="B8" s="7">
        <v>0.21165522218097138</v>
      </c>
      <c r="C8" s="7">
        <v>0.36565972930944518</v>
      </c>
      <c r="D8" s="7">
        <v>0.42268504850958344</v>
      </c>
      <c r="E8" s="7">
        <v>1</v>
      </c>
    </row>
    <row r="9" spans="1:5" x14ac:dyDescent="0.25">
      <c r="A9" s="6" t="s">
        <v>25</v>
      </c>
      <c r="B9" s="7">
        <v>0.17266225102632909</v>
      </c>
      <c r="C9" s="7">
        <v>0.45588342028468315</v>
      </c>
      <c r="D9" s="7">
        <v>0.37145432868898776</v>
      </c>
      <c r="E9" s="7">
        <v>1</v>
      </c>
    </row>
    <row r="10" spans="1:5" x14ac:dyDescent="0.25">
      <c r="A10" s="6" t="s">
        <v>20</v>
      </c>
      <c r="B10" s="7">
        <v>0.21506086176544209</v>
      </c>
      <c r="C10" s="7">
        <v>0.47415667411405255</v>
      </c>
      <c r="D10" s="7">
        <v>0.31078246412050542</v>
      </c>
      <c r="E10" s="7">
        <v>1</v>
      </c>
    </row>
    <row r="11" spans="1:5" x14ac:dyDescent="0.25">
      <c r="A11" s="6" t="s">
        <v>380</v>
      </c>
      <c r="B11" s="7">
        <v>0.29160003010910263</v>
      </c>
      <c r="C11" s="7">
        <v>0.30927766172205429</v>
      </c>
      <c r="D11" s="7">
        <v>0.39912230816884314</v>
      </c>
      <c r="E11" s="7">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0"/>
  <sheetViews>
    <sheetView topLeftCell="D6" workbookViewId="0">
      <selection activeCell="I18" sqref="I18"/>
    </sheetView>
  </sheetViews>
  <sheetFormatPr defaultRowHeight="15" x14ac:dyDescent="0.25"/>
  <cols>
    <col min="1" max="1" width="13.42578125" customWidth="1"/>
    <col min="2" max="2" width="18.7109375" bestFit="1" customWidth="1"/>
    <col min="3" max="3" width="20.140625" bestFit="1" customWidth="1"/>
    <col min="4" max="4" width="20.5703125" customWidth="1"/>
    <col min="5" max="5" width="15.7109375" customWidth="1"/>
    <col min="6" max="6" width="14.85546875" customWidth="1"/>
    <col min="7" max="7" width="22.140625" customWidth="1"/>
    <col min="8" max="8" width="13.140625" bestFit="1" customWidth="1"/>
    <col min="9" max="9" width="30.7109375" bestFit="1" customWidth="1"/>
    <col min="10" max="10" width="23.7109375" bestFit="1" customWidth="1"/>
  </cols>
  <sheetData>
    <row r="1" spans="1:9" x14ac:dyDescent="0.25">
      <c r="A1" s="1" t="s">
        <v>4</v>
      </c>
      <c r="B1" s="1" t="s">
        <v>192</v>
      </c>
      <c r="C1" s="1" t="s">
        <v>5</v>
      </c>
      <c r="D1" s="1" t="s">
        <v>193</v>
      </c>
      <c r="E1" s="1" t="s">
        <v>194</v>
      </c>
      <c r="F1" s="1" t="s">
        <v>195</v>
      </c>
      <c r="G1" s="1" t="s">
        <v>196</v>
      </c>
      <c r="H1" s="1" t="s">
        <v>197</v>
      </c>
      <c r="I1" s="1" t="s">
        <v>198</v>
      </c>
    </row>
    <row r="2" spans="1:9" x14ac:dyDescent="0.25">
      <c r="A2" t="s">
        <v>22</v>
      </c>
      <c r="B2" t="s">
        <v>199</v>
      </c>
      <c r="C2" t="s">
        <v>23</v>
      </c>
      <c r="D2" t="s">
        <v>25</v>
      </c>
      <c r="E2" s="2">
        <v>45292</v>
      </c>
      <c r="F2" s="2">
        <v>46387</v>
      </c>
      <c r="G2">
        <v>84</v>
      </c>
      <c r="H2">
        <v>4.8499999999999996</v>
      </c>
      <c r="I2" t="s">
        <v>200</v>
      </c>
    </row>
    <row r="3" spans="1:9" x14ac:dyDescent="0.25">
      <c r="A3" t="s">
        <v>38</v>
      </c>
      <c r="B3" t="s">
        <v>201</v>
      </c>
      <c r="C3" t="s">
        <v>39</v>
      </c>
      <c r="D3" t="s">
        <v>10</v>
      </c>
      <c r="E3" s="2">
        <v>45292</v>
      </c>
      <c r="F3" s="2">
        <v>46387</v>
      </c>
      <c r="G3">
        <v>90</v>
      </c>
      <c r="H3">
        <v>4</v>
      </c>
      <c r="I3" t="s">
        <v>202</v>
      </c>
    </row>
    <row r="4" spans="1:9" x14ac:dyDescent="0.25">
      <c r="A4" t="s">
        <v>30</v>
      </c>
      <c r="B4" t="s">
        <v>203</v>
      </c>
      <c r="C4" t="s">
        <v>31</v>
      </c>
      <c r="D4" t="s">
        <v>20</v>
      </c>
      <c r="E4" s="2">
        <v>45292</v>
      </c>
      <c r="F4" s="2">
        <v>46387</v>
      </c>
      <c r="G4">
        <v>90</v>
      </c>
      <c r="H4">
        <v>4.62</v>
      </c>
      <c r="I4" t="s">
        <v>202</v>
      </c>
    </row>
    <row r="5" spans="1:9" x14ac:dyDescent="0.25">
      <c r="A5" t="s">
        <v>12</v>
      </c>
      <c r="B5" t="s">
        <v>204</v>
      </c>
      <c r="C5" t="s">
        <v>13</v>
      </c>
      <c r="D5" t="s">
        <v>10</v>
      </c>
      <c r="E5" s="2">
        <v>45292</v>
      </c>
      <c r="F5" s="2">
        <v>46387</v>
      </c>
      <c r="G5">
        <v>90</v>
      </c>
      <c r="H5">
        <v>3.95</v>
      </c>
      <c r="I5" t="s">
        <v>202</v>
      </c>
    </row>
    <row r="6" spans="1:9" x14ac:dyDescent="0.25">
      <c r="A6" t="s">
        <v>16</v>
      </c>
      <c r="B6" t="s">
        <v>205</v>
      </c>
      <c r="C6" t="s">
        <v>17</v>
      </c>
      <c r="D6" t="s">
        <v>28</v>
      </c>
      <c r="E6" s="2">
        <v>45292</v>
      </c>
      <c r="F6" s="2">
        <v>46387</v>
      </c>
      <c r="G6">
        <v>84</v>
      </c>
      <c r="H6">
        <v>3.54</v>
      </c>
      <c r="I6" t="s">
        <v>206</v>
      </c>
    </row>
    <row r="7" spans="1:9" x14ac:dyDescent="0.25">
      <c r="A7" t="s">
        <v>50</v>
      </c>
      <c r="B7" t="s">
        <v>207</v>
      </c>
      <c r="C7" t="s">
        <v>51</v>
      </c>
      <c r="D7" t="s">
        <v>20</v>
      </c>
      <c r="E7" s="2">
        <v>45292</v>
      </c>
      <c r="F7" s="2">
        <v>46387</v>
      </c>
      <c r="G7">
        <v>97</v>
      </c>
      <c r="H7">
        <v>4.57</v>
      </c>
      <c r="I7" t="s">
        <v>200</v>
      </c>
    </row>
    <row r="11" spans="1:9" x14ac:dyDescent="0.25">
      <c r="H11" s="5" t="s">
        <v>379</v>
      </c>
      <c r="I11" t="s">
        <v>416</v>
      </c>
    </row>
    <row r="12" spans="1:9" x14ac:dyDescent="0.25">
      <c r="H12" s="6" t="s">
        <v>22</v>
      </c>
      <c r="I12">
        <v>84</v>
      </c>
    </row>
    <row r="13" spans="1:9" x14ac:dyDescent="0.25">
      <c r="B13" s="5" t="s">
        <v>379</v>
      </c>
      <c r="C13" t="s">
        <v>415</v>
      </c>
      <c r="H13" s="6" t="s">
        <v>38</v>
      </c>
      <c r="I13">
        <v>90</v>
      </c>
    </row>
    <row r="14" spans="1:9" x14ac:dyDescent="0.25">
      <c r="B14" s="6" t="s">
        <v>203</v>
      </c>
      <c r="C14">
        <v>4.62</v>
      </c>
      <c r="H14" s="6" t="s">
        <v>30</v>
      </c>
      <c r="I14">
        <v>90</v>
      </c>
    </row>
    <row r="15" spans="1:9" x14ac:dyDescent="0.25">
      <c r="B15" s="6" t="s">
        <v>207</v>
      </c>
      <c r="C15">
        <v>4.57</v>
      </c>
      <c r="H15" s="6" t="s">
        <v>12</v>
      </c>
      <c r="I15">
        <v>90</v>
      </c>
    </row>
    <row r="16" spans="1:9" x14ac:dyDescent="0.25">
      <c r="B16" s="6" t="s">
        <v>204</v>
      </c>
      <c r="C16">
        <v>3.95</v>
      </c>
      <c r="H16" s="6" t="s">
        <v>16</v>
      </c>
      <c r="I16">
        <v>84</v>
      </c>
    </row>
    <row r="17" spans="2:9" x14ac:dyDescent="0.25">
      <c r="B17" s="6" t="s">
        <v>205</v>
      </c>
      <c r="C17">
        <v>3.54</v>
      </c>
      <c r="H17" s="6" t="s">
        <v>50</v>
      </c>
      <c r="I17">
        <v>97</v>
      </c>
    </row>
    <row r="18" spans="2:9" x14ac:dyDescent="0.25">
      <c r="B18" s="6" t="s">
        <v>201</v>
      </c>
      <c r="C18">
        <v>4</v>
      </c>
      <c r="H18" s="6" t="s">
        <v>380</v>
      </c>
      <c r="I18" s="3">
        <v>89.166666666666671</v>
      </c>
    </row>
    <row r="19" spans="2:9" x14ac:dyDescent="0.25">
      <c r="B19" s="6" t="s">
        <v>199</v>
      </c>
      <c r="C19">
        <v>4.8499999999999996</v>
      </c>
    </row>
    <row r="20" spans="2:9" x14ac:dyDescent="0.25">
      <c r="B20" s="6" t="s">
        <v>380</v>
      </c>
      <c r="C20">
        <v>25.53</v>
      </c>
    </row>
  </sheetData>
  <pageMargins left="0.75" right="0.75" top="1" bottom="1" header="0.5" footer="0.5"/>
  <drawing r:id="rId3"/>
  <tableParts count="1">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40E27-0BE8-46C2-B857-CDE64AF4FD96}">
  <dimension ref="A1:E12"/>
  <sheetViews>
    <sheetView topLeftCell="A2" workbookViewId="0">
      <selection activeCell="C7" sqref="C7"/>
    </sheetView>
  </sheetViews>
  <sheetFormatPr defaultRowHeight="15" x14ac:dyDescent="0.25"/>
  <cols>
    <col min="1" max="1" width="26.85546875" bestFit="1" customWidth="1"/>
    <col min="2" max="2" width="16.28515625" bestFit="1" customWidth="1"/>
    <col min="3" max="3" width="7.140625" bestFit="1" customWidth="1"/>
    <col min="4" max="4" width="8.28515625" bestFit="1" customWidth="1"/>
    <col min="5" max="5" width="11.28515625" bestFit="1" customWidth="1"/>
  </cols>
  <sheetData>
    <row r="1" spans="1:5" x14ac:dyDescent="0.25">
      <c r="A1" t="s">
        <v>392</v>
      </c>
    </row>
    <row r="3" spans="1:5" x14ac:dyDescent="0.25">
      <c r="A3" s="5" t="s">
        <v>389</v>
      </c>
      <c r="B3" s="5" t="s">
        <v>384</v>
      </c>
    </row>
    <row r="4" spans="1:5" x14ac:dyDescent="0.25">
      <c r="A4" s="5" t="s">
        <v>379</v>
      </c>
      <c r="B4" t="s">
        <v>217</v>
      </c>
      <c r="C4" t="s">
        <v>215</v>
      </c>
      <c r="D4" t="s">
        <v>213</v>
      </c>
      <c r="E4" t="s">
        <v>380</v>
      </c>
    </row>
    <row r="5" spans="1:5" x14ac:dyDescent="0.25">
      <c r="A5" s="6" t="s">
        <v>368</v>
      </c>
      <c r="B5" s="7">
        <v>0.59194509777946369</v>
      </c>
      <c r="C5" s="7">
        <v>0.19327370143700162</v>
      </c>
      <c r="D5" s="7">
        <v>0.21478120078353469</v>
      </c>
      <c r="E5" s="7">
        <v>1</v>
      </c>
    </row>
    <row r="6" spans="1:5" x14ac:dyDescent="0.25">
      <c r="A6" s="6" t="s">
        <v>369</v>
      </c>
      <c r="B6" s="7">
        <v>0.19162703192801692</v>
      </c>
      <c r="C6" s="7">
        <v>0.36079951323069925</v>
      </c>
      <c r="D6" s="7">
        <v>0.44757345484128391</v>
      </c>
      <c r="E6" s="7">
        <v>1</v>
      </c>
    </row>
    <row r="7" spans="1:5" x14ac:dyDescent="0.25">
      <c r="A7" s="6" t="s">
        <v>370</v>
      </c>
      <c r="B7" s="7">
        <v>0.25360752531250241</v>
      </c>
      <c r="C7" s="7">
        <v>0.36744193907307271</v>
      </c>
      <c r="D7" s="7">
        <v>0.37895053561442488</v>
      </c>
      <c r="E7" s="7">
        <v>1</v>
      </c>
    </row>
    <row r="8" spans="1:5" x14ac:dyDescent="0.25">
      <c r="A8" s="6" t="s">
        <v>371</v>
      </c>
      <c r="B8" s="7">
        <v>0.16029283175568385</v>
      </c>
      <c r="C8" s="7">
        <v>0.48670558120012963</v>
      </c>
      <c r="D8" s="7">
        <v>0.3530015870441866</v>
      </c>
      <c r="E8" s="7">
        <v>1</v>
      </c>
    </row>
    <row r="9" spans="1:5" x14ac:dyDescent="0.25">
      <c r="A9" s="6" t="s">
        <v>372</v>
      </c>
      <c r="B9" s="7">
        <v>0.49738681467694262</v>
      </c>
      <c r="C9" s="7">
        <v>0.34712080446794724</v>
      </c>
      <c r="D9" s="7">
        <v>0.15549238085511013</v>
      </c>
      <c r="E9" s="7">
        <v>1</v>
      </c>
    </row>
    <row r="10" spans="1:5" x14ac:dyDescent="0.25">
      <c r="A10" s="6" t="s">
        <v>373</v>
      </c>
      <c r="B10" s="7">
        <v>0.34512166233426783</v>
      </c>
      <c r="C10" s="7">
        <v>0.40299906583935557</v>
      </c>
      <c r="D10" s="7">
        <v>0.25187927182637654</v>
      </c>
      <c r="E10" s="7">
        <v>1</v>
      </c>
    </row>
    <row r="11" spans="1:5" x14ac:dyDescent="0.25">
      <c r="A11" s="6" t="s">
        <v>388</v>
      </c>
      <c r="B11" s="7">
        <v>0.19508709596078935</v>
      </c>
      <c r="C11" s="7">
        <v>0.56835374223919033</v>
      </c>
      <c r="D11" s="7">
        <v>0.23655916180002037</v>
      </c>
      <c r="E11" s="7">
        <v>1</v>
      </c>
    </row>
    <row r="12" spans="1:5" x14ac:dyDescent="0.25">
      <c r="A12" s="6" t="s">
        <v>380</v>
      </c>
      <c r="B12" s="7">
        <v>0.31931692471618972</v>
      </c>
      <c r="C12" s="7">
        <v>0.38126786442922528</v>
      </c>
      <c r="D12" s="7">
        <v>0.29941521085458511</v>
      </c>
      <c r="E12" s="7">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51"/>
  <sheetViews>
    <sheetView workbookViewId="0">
      <selection sqref="A1:E151"/>
    </sheetView>
  </sheetViews>
  <sheetFormatPr defaultRowHeight="15" x14ac:dyDescent="0.25"/>
  <cols>
    <col min="1" max="1" width="14.7109375" customWidth="1"/>
    <col min="3" max="3" width="14.85546875" customWidth="1"/>
    <col min="4" max="4" width="21.85546875" customWidth="1"/>
    <col min="5" max="5" width="17.42578125" customWidth="1"/>
  </cols>
  <sheetData>
    <row r="1" spans="1:5" x14ac:dyDescent="0.25">
      <c r="A1" s="1" t="s">
        <v>208</v>
      </c>
      <c r="B1" s="1" t="s">
        <v>0</v>
      </c>
      <c r="C1" s="1" t="s">
        <v>209</v>
      </c>
      <c r="D1" s="1" t="s">
        <v>210</v>
      </c>
      <c r="E1" s="1" t="s">
        <v>211</v>
      </c>
    </row>
    <row r="2" spans="1:5" x14ac:dyDescent="0.25">
      <c r="A2" t="s">
        <v>212</v>
      </c>
      <c r="B2" t="s">
        <v>9</v>
      </c>
      <c r="C2" s="2">
        <v>45861</v>
      </c>
      <c r="D2" s="3">
        <v>19387087.960000001</v>
      </c>
      <c r="E2" t="s">
        <v>213</v>
      </c>
    </row>
    <row r="3" spans="1:5" x14ac:dyDescent="0.25">
      <c r="A3" t="s">
        <v>214</v>
      </c>
      <c r="B3" t="s">
        <v>15</v>
      </c>
      <c r="C3" s="2">
        <v>45773</v>
      </c>
      <c r="D3" s="3">
        <v>40758532.539999999</v>
      </c>
      <c r="E3" t="s">
        <v>215</v>
      </c>
    </row>
    <row r="4" spans="1:5" x14ac:dyDescent="0.25">
      <c r="A4" t="s">
        <v>216</v>
      </c>
      <c r="B4" t="s">
        <v>19</v>
      </c>
      <c r="C4" s="2">
        <v>45790</v>
      </c>
      <c r="D4" s="3">
        <v>9228667.6500000004</v>
      </c>
      <c r="E4" t="s">
        <v>217</v>
      </c>
    </row>
    <row r="5" spans="1:5" x14ac:dyDescent="0.25">
      <c r="A5" t="s">
        <v>218</v>
      </c>
      <c r="B5" t="s">
        <v>24</v>
      </c>
      <c r="C5" s="2">
        <v>45740</v>
      </c>
      <c r="D5" s="3">
        <v>41155487.100000001</v>
      </c>
      <c r="E5" t="s">
        <v>215</v>
      </c>
    </row>
    <row r="6" spans="1:5" x14ac:dyDescent="0.25">
      <c r="A6" t="s">
        <v>219</v>
      </c>
      <c r="B6" t="s">
        <v>27</v>
      </c>
      <c r="C6" s="2">
        <v>45818</v>
      </c>
      <c r="D6" s="3">
        <v>11883511.310000001</v>
      </c>
      <c r="E6" t="s">
        <v>213</v>
      </c>
    </row>
    <row r="7" spans="1:5" x14ac:dyDescent="0.25">
      <c r="A7" t="s">
        <v>220</v>
      </c>
      <c r="B7" t="s">
        <v>33</v>
      </c>
      <c r="C7" s="2">
        <v>45780</v>
      </c>
      <c r="D7" s="3">
        <v>18156736.199999999</v>
      </c>
      <c r="E7" t="s">
        <v>217</v>
      </c>
    </row>
    <row r="8" spans="1:5" x14ac:dyDescent="0.25">
      <c r="A8" t="s">
        <v>221</v>
      </c>
      <c r="B8" t="s">
        <v>34</v>
      </c>
      <c r="C8" s="2">
        <v>45683</v>
      </c>
      <c r="D8" s="3">
        <v>25643050.530000001</v>
      </c>
      <c r="E8" t="s">
        <v>213</v>
      </c>
    </row>
    <row r="9" spans="1:5" x14ac:dyDescent="0.25">
      <c r="A9" t="s">
        <v>222</v>
      </c>
      <c r="B9" t="s">
        <v>35</v>
      </c>
      <c r="C9" s="2">
        <v>45855</v>
      </c>
      <c r="D9" s="3">
        <v>8080875.4400000004</v>
      </c>
      <c r="E9" t="s">
        <v>213</v>
      </c>
    </row>
    <row r="10" spans="1:5" x14ac:dyDescent="0.25">
      <c r="A10" t="s">
        <v>223</v>
      </c>
      <c r="B10" t="s">
        <v>37</v>
      </c>
      <c r="C10" s="2">
        <v>45679</v>
      </c>
      <c r="D10" s="3">
        <v>32512345.280000001</v>
      </c>
      <c r="E10" t="s">
        <v>213</v>
      </c>
    </row>
    <row r="11" spans="1:5" x14ac:dyDescent="0.25">
      <c r="A11" t="s">
        <v>224</v>
      </c>
      <c r="B11" t="s">
        <v>40</v>
      </c>
      <c r="C11" s="2">
        <v>45804</v>
      </c>
      <c r="D11" s="3">
        <v>27276369.32</v>
      </c>
      <c r="E11" t="s">
        <v>215</v>
      </c>
    </row>
    <row r="12" spans="1:5" x14ac:dyDescent="0.25">
      <c r="A12" t="s">
        <v>225</v>
      </c>
      <c r="B12" t="s">
        <v>42</v>
      </c>
      <c r="C12" s="2">
        <v>45772</v>
      </c>
      <c r="D12" s="3">
        <v>44185383.859999999</v>
      </c>
      <c r="E12" t="s">
        <v>215</v>
      </c>
    </row>
    <row r="13" spans="1:5" x14ac:dyDescent="0.25">
      <c r="A13" t="s">
        <v>226</v>
      </c>
      <c r="B13" t="s">
        <v>44</v>
      </c>
      <c r="C13" s="2">
        <v>45730</v>
      </c>
      <c r="D13" s="3">
        <v>31267618.510000002</v>
      </c>
      <c r="E13" t="s">
        <v>215</v>
      </c>
    </row>
    <row r="14" spans="1:5" x14ac:dyDescent="0.25">
      <c r="A14" t="s">
        <v>227</v>
      </c>
      <c r="B14" t="s">
        <v>45</v>
      </c>
      <c r="C14" s="2">
        <v>45687</v>
      </c>
      <c r="D14" s="3">
        <v>21110907.739999998</v>
      </c>
      <c r="E14" t="s">
        <v>217</v>
      </c>
    </row>
    <row r="15" spans="1:5" x14ac:dyDescent="0.25">
      <c r="A15" t="s">
        <v>228</v>
      </c>
      <c r="B15" t="s">
        <v>48</v>
      </c>
      <c r="C15" s="2">
        <v>45777</v>
      </c>
      <c r="D15" s="3">
        <v>8742273.9199999999</v>
      </c>
      <c r="E15" t="s">
        <v>215</v>
      </c>
    </row>
    <row r="16" spans="1:5" x14ac:dyDescent="0.25">
      <c r="A16" t="s">
        <v>229</v>
      </c>
      <c r="B16" t="s">
        <v>49</v>
      </c>
      <c r="C16" s="2">
        <v>45769</v>
      </c>
      <c r="D16" s="3">
        <v>23100095.91</v>
      </c>
      <c r="E16" t="s">
        <v>217</v>
      </c>
    </row>
    <row r="17" spans="1:5" x14ac:dyDescent="0.25">
      <c r="A17" t="s">
        <v>230</v>
      </c>
      <c r="B17" t="s">
        <v>52</v>
      </c>
      <c r="C17" s="2">
        <v>45723</v>
      </c>
      <c r="D17" s="3">
        <v>37424054.530000001</v>
      </c>
      <c r="E17" t="s">
        <v>217</v>
      </c>
    </row>
    <row r="18" spans="1:5" x14ac:dyDescent="0.25">
      <c r="A18" t="s">
        <v>231</v>
      </c>
      <c r="B18" t="s">
        <v>53</v>
      </c>
      <c r="C18" s="2">
        <v>45857</v>
      </c>
      <c r="D18" s="3">
        <v>6146120.4000000004</v>
      </c>
      <c r="E18" t="s">
        <v>213</v>
      </c>
    </row>
    <row r="19" spans="1:5" x14ac:dyDescent="0.25">
      <c r="A19" t="s">
        <v>232</v>
      </c>
      <c r="B19" t="s">
        <v>54</v>
      </c>
      <c r="C19" s="2">
        <v>45738</v>
      </c>
      <c r="D19" s="3">
        <v>14041905.84</v>
      </c>
      <c r="E19" t="s">
        <v>213</v>
      </c>
    </row>
    <row r="20" spans="1:5" x14ac:dyDescent="0.25">
      <c r="A20" t="s">
        <v>233</v>
      </c>
      <c r="B20" t="s">
        <v>56</v>
      </c>
      <c r="C20" s="2">
        <v>45758</v>
      </c>
      <c r="D20" s="3">
        <v>12777419.539999999</v>
      </c>
      <c r="E20" t="s">
        <v>213</v>
      </c>
    </row>
    <row r="21" spans="1:5" x14ac:dyDescent="0.25">
      <c r="A21" t="s">
        <v>234</v>
      </c>
      <c r="B21" t="s">
        <v>58</v>
      </c>
      <c r="C21" s="2">
        <v>45713</v>
      </c>
      <c r="D21" s="3">
        <v>22025948.300000001</v>
      </c>
      <c r="E21" t="s">
        <v>215</v>
      </c>
    </row>
    <row r="22" spans="1:5" x14ac:dyDescent="0.25">
      <c r="A22" t="s">
        <v>235</v>
      </c>
      <c r="B22" t="s">
        <v>59</v>
      </c>
      <c r="C22" s="2">
        <v>45725</v>
      </c>
      <c r="D22" s="3">
        <v>11851650.1</v>
      </c>
      <c r="E22" t="s">
        <v>213</v>
      </c>
    </row>
    <row r="23" spans="1:5" x14ac:dyDescent="0.25">
      <c r="A23" t="s">
        <v>236</v>
      </c>
      <c r="B23" t="s">
        <v>60</v>
      </c>
      <c r="C23" s="2">
        <v>45811</v>
      </c>
      <c r="D23" s="3">
        <v>9493681.6999999993</v>
      </c>
      <c r="E23" t="s">
        <v>215</v>
      </c>
    </row>
    <row r="24" spans="1:5" x14ac:dyDescent="0.25">
      <c r="A24" t="s">
        <v>237</v>
      </c>
      <c r="B24" t="s">
        <v>61</v>
      </c>
      <c r="C24" s="2">
        <v>45764</v>
      </c>
      <c r="D24" s="3">
        <v>12657521.91</v>
      </c>
      <c r="E24" t="s">
        <v>215</v>
      </c>
    </row>
    <row r="25" spans="1:5" x14ac:dyDescent="0.25">
      <c r="A25" t="s">
        <v>238</v>
      </c>
      <c r="B25" t="s">
        <v>64</v>
      </c>
      <c r="C25" s="2">
        <v>45792</v>
      </c>
      <c r="D25" s="3">
        <v>26362806.469999999</v>
      </c>
      <c r="E25" t="s">
        <v>217</v>
      </c>
    </row>
    <row r="26" spans="1:5" x14ac:dyDescent="0.25">
      <c r="A26" t="s">
        <v>239</v>
      </c>
      <c r="B26" t="s">
        <v>65</v>
      </c>
      <c r="C26" s="2">
        <v>45688</v>
      </c>
      <c r="D26" s="3">
        <v>32700994.949999999</v>
      </c>
      <c r="E26" t="s">
        <v>215</v>
      </c>
    </row>
    <row r="27" spans="1:5" x14ac:dyDescent="0.25">
      <c r="A27" t="s">
        <v>240</v>
      </c>
      <c r="B27" t="s">
        <v>66</v>
      </c>
      <c r="C27" s="2">
        <v>45689</v>
      </c>
      <c r="D27" s="3">
        <v>324155.8</v>
      </c>
      <c r="E27" t="s">
        <v>215</v>
      </c>
    </row>
    <row r="28" spans="1:5" x14ac:dyDescent="0.25">
      <c r="A28" t="s">
        <v>241</v>
      </c>
      <c r="B28" t="s">
        <v>67</v>
      </c>
      <c r="C28" s="2">
        <v>45777</v>
      </c>
      <c r="D28" s="3">
        <v>45727340.140000001</v>
      </c>
      <c r="E28" t="s">
        <v>215</v>
      </c>
    </row>
    <row r="29" spans="1:5" x14ac:dyDescent="0.25">
      <c r="A29" t="s">
        <v>242</v>
      </c>
      <c r="B29" t="s">
        <v>68</v>
      </c>
      <c r="C29" s="2">
        <v>45738</v>
      </c>
      <c r="D29" s="3">
        <v>11721344.640000001</v>
      </c>
      <c r="E29" t="s">
        <v>215</v>
      </c>
    </row>
    <row r="30" spans="1:5" x14ac:dyDescent="0.25">
      <c r="A30" t="s">
        <v>243</v>
      </c>
      <c r="B30" t="s">
        <v>69</v>
      </c>
      <c r="C30" s="2">
        <v>45711</v>
      </c>
      <c r="D30" s="3">
        <v>30064616.25</v>
      </c>
      <c r="E30" t="s">
        <v>217</v>
      </c>
    </row>
    <row r="31" spans="1:5" x14ac:dyDescent="0.25">
      <c r="A31" t="s">
        <v>244</v>
      </c>
      <c r="B31" t="s">
        <v>70</v>
      </c>
      <c r="C31" s="2">
        <v>45712</v>
      </c>
      <c r="D31" s="3">
        <v>46515670.020000003</v>
      </c>
      <c r="E31" t="s">
        <v>213</v>
      </c>
    </row>
    <row r="32" spans="1:5" x14ac:dyDescent="0.25">
      <c r="A32" t="s">
        <v>245</v>
      </c>
      <c r="B32" t="s">
        <v>71</v>
      </c>
      <c r="C32" s="2">
        <v>45794</v>
      </c>
      <c r="D32" s="3">
        <v>43319753.689999998</v>
      </c>
      <c r="E32" t="s">
        <v>213</v>
      </c>
    </row>
    <row r="33" spans="1:5" x14ac:dyDescent="0.25">
      <c r="A33" t="s">
        <v>246</v>
      </c>
      <c r="B33" t="s">
        <v>72</v>
      </c>
      <c r="C33" s="2">
        <v>45817</v>
      </c>
      <c r="D33" s="3">
        <v>13071416.289999999</v>
      </c>
      <c r="E33" t="s">
        <v>217</v>
      </c>
    </row>
    <row r="34" spans="1:5" x14ac:dyDescent="0.25">
      <c r="A34" t="s">
        <v>247</v>
      </c>
      <c r="B34" t="s">
        <v>73</v>
      </c>
      <c r="C34" s="2">
        <v>45664</v>
      </c>
      <c r="D34" s="3">
        <v>5378425.1100000003</v>
      </c>
      <c r="E34" t="s">
        <v>217</v>
      </c>
    </row>
    <row r="35" spans="1:5" x14ac:dyDescent="0.25">
      <c r="A35" t="s">
        <v>248</v>
      </c>
      <c r="B35" t="s">
        <v>74</v>
      </c>
      <c r="C35" s="2">
        <v>45844</v>
      </c>
      <c r="D35" s="3">
        <v>31035404.199999999</v>
      </c>
      <c r="E35" t="s">
        <v>215</v>
      </c>
    </row>
    <row r="36" spans="1:5" x14ac:dyDescent="0.25">
      <c r="A36" t="s">
        <v>249</v>
      </c>
      <c r="B36" t="s">
        <v>75</v>
      </c>
      <c r="C36" s="2">
        <v>45672</v>
      </c>
      <c r="D36" s="3">
        <v>18498556.82</v>
      </c>
      <c r="E36" t="s">
        <v>215</v>
      </c>
    </row>
    <row r="37" spans="1:5" x14ac:dyDescent="0.25">
      <c r="A37" t="s">
        <v>250</v>
      </c>
      <c r="B37" t="s">
        <v>76</v>
      </c>
      <c r="C37" s="2">
        <v>45674</v>
      </c>
      <c r="D37" s="3">
        <v>10278424.23</v>
      </c>
      <c r="E37" t="s">
        <v>213</v>
      </c>
    </row>
    <row r="38" spans="1:5" x14ac:dyDescent="0.25">
      <c r="A38" t="s">
        <v>251</v>
      </c>
      <c r="B38" t="s">
        <v>78</v>
      </c>
      <c r="C38" s="2">
        <v>45672</v>
      </c>
      <c r="D38" s="3">
        <v>30011226.129999999</v>
      </c>
      <c r="E38" t="s">
        <v>217</v>
      </c>
    </row>
    <row r="39" spans="1:5" x14ac:dyDescent="0.25">
      <c r="A39" t="s">
        <v>252</v>
      </c>
      <c r="B39" t="s">
        <v>79</v>
      </c>
      <c r="C39" s="2">
        <v>45715</v>
      </c>
      <c r="D39" s="3">
        <v>40755711.630000003</v>
      </c>
      <c r="E39" t="s">
        <v>213</v>
      </c>
    </row>
    <row r="40" spans="1:5" x14ac:dyDescent="0.25">
      <c r="A40" t="s">
        <v>253</v>
      </c>
      <c r="B40" t="s">
        <v>80</v>
      </c>
      <c r="C40" s="2">
        <v>45767</v>
      </c>
      <c r="D40" s="3">
        <v>33948155.030000001</v>
      </c>
      <c r="E40" t="s">
        <v>215</v>
      </c>
    </row>
    <row r="41" spans="1:5" x14ac:dyDescent="0.25">
      <c r="A41" t="s">
        <v>254</v>
      </c>
      <c r="B41" t="s">
        <v>81</v>
      </c>
      <c r="C41" s="2">
        <v>45821</v>
      </c>
      <c r="D41" s="3">
        <v>15678567.119999999</v>
      </c>
      <c r="E41" t="s">
        <v>215</v>
      </c>
    </row>
    <row r="42" spans="1:5" x14ac:dyDescent="0.25">
      <c r="A42" t="s">
        <v>255</v>
      </c>
      <c r="B42" t="s">
        <v>82</v>
      </c>
      <c r="C42" s="2">
        <v>45671</v>
      </c>
      <c r="D42" s="3">
        <v>39784530.289999999</v>
      </c>
      <c r="E42" t="s">
        <v>217</v>
      </c>
    </row>
    <row r="43" spans="1:5" x14ac:dyDescent="0.25">
      <c r="A43" t="s">
        <v>256</v>
      </c>
      <c r="B43" t="s">
        <v>83</v>
      </c>
      <c r="C43" s="2">
        <v>45786</v>
      </c>
      <c r="D43" s="3">
        <v>3257226.82</v>
      </c>
      <c r="E43" t="s">
        <v>215</v>
      </c>
    </row>
    <row r="44" spans="1:5" x14ac:dyDescent="0.25">
      <c r="A44" t="s">
        <v>257</v>
      </c>
      <c r="B44" t="s">
        <v>84</v>
      </c>
      <c r="C44" s="2">
        <v>45866</v>
      </c>
      <c r="D44" s="3">
        <v>19825305.960000001</v>
      </c>
      <c r="E44" t="s">
        <v>217</v>
      </c>
    </row>
    <row r="45" spans="1:5" x14ac:dyDescent="0.25">
      <c r="A45" t="s">
        <v>258</v>
      </c>
      <c r="B45" t="s">
        <v>85</v>
      </c>
      <c r="C45" s="2">
        <v>45702</v>
      </c>
      <c r="D45" s="3">
        <v>31995179.09</v>
      </c>
      <c r="E45" t="s">
        <v>215</v>
      </c>
    </row>
    <row r="46" spans="1:5" x14ac:dyDescent="0.25">
      <c r="A46" t="s">
        <v>259</v>
      </c>
      <c r="B46" t="s">
        <v>86</v>
      </c>
      <c r="C46" s="2">
        <v>45830</v>
      </c>
      <c r="D46" s="3">
        <v>8268096.9800000004</v>
      </c>
      <c r="E46" t="s">
        <v>217</v>
      </c>
    </row>
    <row r="47" spans="1:5" x14ac:dyDescent="0.25">
      <c r="A47" t="s">
        <v>260</v>
      </c>
      <c r="B47" t="s">
        <v>87</v>
      </c>
      <c r="C47" s="2">
        <v>45732</v>
      </c>
      <c r="D47" s="3">
        <v>20548467.18</v>
      </c>
      <c r="E47" t="s">
        <v>213</v>
      </c>
    </row>
    <row r="48" spans="1:5" x14ac:dyDescent="0.25">
      <c r="A48" t="s">
        <v>261</v>
      </c>
      <c r="B48" t="s">
        <v>88</v>
      </c>
      <c r="C48" s="2">
        <v>45833</v>
      </c>
      <c r="D48" s="3">
        <v>15449028.560000001</v>
      </c>
      <c r="E48" t="s">
        <v>215</v>
      </c>
    </row>
    <row r="49" spans="1:5" x14ac:dyDescent="0.25">
      <c r="A49" t="s">
        <v>262</v>
      </c>
      <c r="B49" t="s">
        <v>89</v>
      </c>
      <c r="C49" s="2">
        <v>45742</v>
      </c>
      <c r="D49" s="3">
        <v>37292344.490000002</v>
      </c>
      <c r="E49" t="s">
        <v>213</v>
      </c>
    </row>
    <row r="50" spans="1:5" x14ac:dyDescent="0.25">
      <c r="A50" t="s">
        <v>263</v>
      </c>
      <c r="B50" t="s">
        <v>90</v>
      </c>
      <c r="C50" s="2">
        <v>45769</v>
      </c>
      <c r="D50" s="3">
        <v>20880624.57</v>
      </c>
      <c r="E50" t="s">
        <v>213</v>
      </c>
    </row>
    <row r="51" spans="1:5" x14ac:dyDescent="0.25">
      <c r="A51" t="s">
        <v>264</v>
      </c>
      <c r="B51" t="s">
        <v>91</v>
      </c>
      <c r="C51" s="2">
        <v>45827</v>
      </c>
      <c r="D51" s="3">
        <v>9940359.3499999996</v>
      </c>
      <c r="E51" t="s">
        <v>217</v>
      </c>
    </row>
    <row r="52" spans="1:5" x14ac:dyDescent="0.25">
      <c r="A52" t="s">
        <v>265</v>
      </c>
      <c r="B52" t="s">
        <v>92</v>
      </c>
      <c r="C52" s="2">
        <v>45766</v>
      </c>
      <c r="D52" s="3">
        <v>10262991.83</v>
      </c>
      <c r="E52" t="s">
        <v>215</v>
      </c>
    </row>
    <row r="53" spans="1:5" x14ac:dyDescent="0.25">
      <c r="A53" t="s">
        <v>266</v>
      </c>
      <c r="B53" t="s">
        <v>93</v>
      </c>
      <c r="C53" s="2">
        <v>45774</v>
      </c>
      <c r="D53" s="3">
        <v>45091366.020000003</v>
      </c>
      <c r="E53" t="s">
        <v>213</v>
      </c>
    </row>
    <row r="54" spans="1:5" x14ac:dyDescent="0.25">
      <c r="A54" t="s">
        <v>267</v>
      </c>
      <c r="B54" t="s">
        <v>94</v>
      </c>
      <c r="C54" s="2">
        <v>45692</v>
      </c>
      <c r="D54" s="3">
        <v>41036392.200000003</v>
      </c>
      <c r="E54" t="s">
        <v>213</v>
      </c>
    </row>
    <row r="55" spans="1:5" x14ac:dyDescent="0.25">
      <c r="A55" t="s">
        <v>268</v>
      </c>
      <c r="B55" t="s">
        <v>95</v>
      </c>
      <c r="C55" s="2">
        <v>45810</v>
      </c>
      <c r="D55" s="3">
        <v>44153613.530000001</v>
      </c>
      <c r="E55" t="s">
        <v>213</v>
      </c>
    </row>
    <row r="56" spans="1:5" x14ac:dyDescent="0.25">
      <c r="A56" t="s">
        <v>269</v>
      </c>
      <c r="B56" t="s">
        <v>96</v>
      </c>
      <c r="C56" s="2">
        <v>45860</v>
      </c>
      <c r="D56" s="3">
        <v>8210974.5099999998</v>
      </c>
      <c r="E56" t="s">
        <v>215</v>
      </c>
    </row>
    <row r="57" spans="1:5" x14ac:dyDescent="0.25">
      <c r="A57" t="s">
        <v>270</v>
      </c>
      <c r="B57" t="s">
        <v>97</v>
      </c>
      <c r="C57" s="2">
        <v>45676</v>
      </c>
      <c r="D57" s="3">
        <v>27622238.02</v>
      </c>
      <c r="E57" t="s">
        <v>217</v>
      </c>
    </row>
    <row r="58" spans="1:5" x14ac:dyDescent="0.25">
      <c r="A58" t="s">
        <v>271</v>
      </c>
      <c r="B58" t="s">
        <v>98</v>
      </c>
      <c r="C58" s="2">
        <v>45764</v>
      </c>
      <c r="D58" s="3">
        <v>4542652.49</v>
      </c>
      <c r="E58" t="s">
        <v>217</v>
      </c>
    </row>
    <row r="59" spans="1:5" x14ac:dyDescent="0.25">
      <c r="A59" t="s">
        <v>272</v>
      </c>
      <c r="B59" t="s">
        <v>99</v>
      </c>
      <c r="C59" s="2">
        <v>45757</v>
      </c>
      <c r="D59" s="3">
        <v>36888722.030000001</v>
      </c>
      <c r="E59" t="s">
        <v>215</v>
      </c>
    </row>
    <row r="60" spans="1:5" x14ac:dyDescent="0.25">
      <c r="A60" t="s">
        <v>273</v>
      </c>
      <c r="B60" t="s">
        <v>100</v>
      </c>
      <c r="C60" s="2">
        <v>45700</v>
      </c>
      <c r="D60" s="3">
        <v>17462452.489999998</v>
      </c>
      <c r="E60" t="s">
        <v>215</v>
      </c>
    </row>
    <row r="61" spans="1:5" x14ac:dyDescent="0.25">
      <c r="A61" t="s">
        <v>274</v>
      </c>
      <c r="B61" t="s">
        <v>101</v>
      </c>
      <c r="C61" s="2">
        <v>45796</v>
      </c>
      <c r="D61" s="3">
        <v>8672086.5700000003</v>
      </c>
      <c r="E61" t="s">
        <v>215</v>
      </c>
    </row>
    <row r="62" spans="1:5" x14ac:dyDescent="0.25">
      <c r="A62" t="s">
        <v>275</v>
      </c>
      <c r="B62" t="s">
        <v>102</v>
      </c>
      <c r="C62" s="2">
        <v>45690</v>
      </c>
      <c r="D62" s="3">
        <v>19248364.100000001</v>
      </c>
      <c r="E62" t="s">
        <v>215</v>
      </c>
    </row>
    <row r="63" spans="1:5" x14ac:dyDescent="0.25">
      <c r="A63" t="s">
        <v>276</v>
      </c>
      <c r="B63" t="s">
        <v>103</v>
      </c>
      <c r="C63" s="2">
        <v>45740</v>
      </c>
      <c r="D63" s="3">
        <v>6419852.6900000004</v>
      </c>
      <c r="E63" t="s">
        <v>215</v>
      </c>
    </row>
    <row r="64" spans="1:5" x14ac:dyDescent="0.25">
      <c r="A64" t="s">
        <v>277</v>
      </c>
      <c r="B64" t="s">
        <v>104</v>
      </c>
      <c r="C64" s="2">
        <v>45786</v>
      </c>
      <c r="D64" s="3">
        <v>15794845.890000001</v>
      </c>
      <c r="E64" t="s">
        <v>217</v>
      </c>
    </row>
    <row r="65" spans="1:5" x14ac:dyDescent="0.25">
      <c r="A65" t="s">
        <v>278</v>
      </c>
      <c r="B65" t="s">
        <v>105</v>
      </c>
      <c r="C65" s="2">
        <v>45825</v>
      </c>
      <c r="D65" s="3">
        <v>19455969.600000001</v>
      </c>
      <c r="E65" t="s">
        <v>217</v>
      </c>
    </row>
    <row r="66" spans="1:5" x14ac:dyDescent="0.25">
      <c r="A66" t="s">
        <v>279</v>
      </c>
      <c r="B66" t="s">
        <v>106</v>
      </c>
      <c r="C66" s="2">
        <v>45821</v>
      </c>
      <c r="D66" s="3">
        <v>34442006.630000003</v>
      </c>
      <c r="E66" t="s">
        <v>215</v>
      </c>
    </row>
    <row r="67" spans="1:5" x14ac:dyDescent="0.25">
      <c r="A67" t="s">
        <v>280</v>
      </c>
      <c r="B67" t="s">
        <v>107</v>
      </c>
      <c r="C67" s="2">
        <v>45826</v>
      </c>
      <c r="D67" s="3">
        <v>39312696.030000001</v>
      </c>
      <c r="E67" t="s">
        <v>215</v>
      </c>
    </row>
    <row r="68" spans="1:5" x14ac:dyDescent="0.25">
      <c r="A68" t="s">
        <v>281</v>
      </c>
      <c r="B68" t="s">
        <v>108</v>
      </c>
      <c r="C68" s="2">
        <v>45821</v>
      </c>
      <c r="D68" s="3">
        <v>20283779.16</v>
      </c>
      <c r="E68" t="s">
        <v>215</v>
      </c>
    </row>
    <row r="69" spans="1:5" x14ac:dyDescent="0.25">
      <c r="A69" t="s">
        <v>282</v>
      </c>
      <c r="B69" t="s">
        <v>109</v>
      </c>
      <c r="C69" s="2">
        <v>45784</v>
      </c>
      <c r="D69" s="3">
        <v>9229980.6300000008</v>
      </c>
      <c r="E69" t="s">
        <v>215</v>
      </c>
    </row>
    <row r="70" spans="1:5" x14ac:dyDescent="0.25">
      <c r="A70" t="s">
        <v>283</v>
      </c>
      <c r="B70" t="s">
        <v>110</v>
      </c>
      <c r="C70" s="2">
        <v>45673</v>
      </c>
      <c r="D70" s="3">
        <v>20047304.600000001</v>
      </c>
      <c r="E70" t="s">
        <v>217</v>
      </c>
    </row>
    <row r="71" spans="1:5" x14ac:dyDescent="0.25">
      <c r="A71" t="s">
        <v>284</v>
      </c>
      <c r="B71" t="s">
        <v>111</v>
      </c>
      <c r="C71" s="2">
        <v>45703</v>
      </c>
      <c r="D71" s="3">
        <v>19240461.039999999</v>
      </c>
      <c r="E71" t="s">
        <v>215</v>
      </c>
    </row>
    <row r="72" spans="1:5" x14ac:dyDescent="0.25">
      <c r="A72" t="s">
        <v>285</v>
      </c>
      <c r="B72" t="s">
        <v>112</v>
      </c>
      <c r="C72" s="2">
        <v>45701</v>
      </c>
      <c r="D72" s="3">
        <v>12428239.01</v>
      </c>
      <c r="E72" t="s">
        <v>217</v>
      </c>
    </row>
    <row r="73" spans="1:5" x14ac:dyDescent="0.25">
      <c r="A73" t="s">
        <v>286</v>
      </c>
      <c r="B73" t="s">
        <v>113</v>
      </c>
      <c r="C73" s="2">
        <v>45712</v>
      </c>
      <c r="D73" s="3">
        <v>2150841.77</v>
      </c>
      <c r="E73" t="s">
        <v>217</v>
      </c>
    </row>
    <row r="74" spans="1:5" x14ac:dyDescent="0.25">
      <c r="A74" t="s">
        <v>287</v>
      </c>
      <c r="B74" t="s">
        <v>114</v>
      </c>
      <c r="C74" s="2">
        <v>45856</v>
      </c>
      <c r="D74" s="3">
        <v>33645446.909999996</v>
      </c>
      <c r="E74" t="s">
        <v>217</v>
      </c>
    </row>
    <row r="75" spans="1:5" x14ac:dyDescent="0.25">
      <c r="A75" t="s">
        <v>288</v>
      </c>
      <c r="B75" t="s">
        <v>115</v>
      </c>
      <c r="C75" s="2">
        <v>45745</v>
      </c>
      <c r="D75" s="3">
        <v>5974777.6600000001</v>
      </c>
      <c r="E75" t="s">
        <v>217</v>
      </c>
    </row>
    <row r="76" spans="1:5" x14ac:dyDescent="0.25">
      <c r="A76" t="s">
        <v>289</v>
      </c>
      <c r="B76" t="s">
        <v>116</v>
      </c>
      <c r="C76" s="2">
        <v>45779</v>
      </c>
      <c r="D76" s="3">
        <v>27547586.670000002</v>
      </c>
      <c r="E76" t="s">
        <v>217</v>
      </c>
    </row>
    <row r="77" spans="1:5" x14ac:dyDescent="0.25">
      <c r="A77" t="s">
        <v>290</v>
      </c>
      <c r="B77" t="s">
        <v>117</v>
      </c>
      <c r="C77" s="2">
        <v>45862</v>
      </c>
      <c r="D77" s="3">
        <v>15380085.77</v>
      </c>
      <c r="E77" t="s">
        <v>213</v>
      </c>
    </row>
    <row r="78" spans="1:5" x14ac:dyDescent="0.25">
      <c r="A78" t="s">
        <v>291</v>
      </c>
      <c r="B78" t="s">
        <v>118</v>
      </c>
      <c r="C78" s="2">
        <v>45741</v>
      </c>
      <c r="D78" s="3">
        <v>29172970.57</v>
      </c>
      <c r="E78" t="s">
        <v>213</v>
      </c>
    </row>
    <row r="79" spans="1:5" x14ac:dyDescent="0.25">
      <c r="A79" t="s">
        <v>292</v>
      </c>
      <c r="B79" t="s">
        <v>119</v>
      </c>
      <c r="C79" s="2">
        <v>45762</v>
      </c>
      <c r="D79" s="3">
        <v>32976251.129999999</v>
      </c>
      <c r="E79" t="s">
        <v>213</v>
      </c>
    </row>
    <row r="80" spans="1:5" x14ac:dyDescent="0.25">
      <c r="A80" t="s">
        <v>293</v>
      </c>
      <c r="B80" t="s">
        <v>120</v>
      </c>
      <c r="C80" s="2">
        <v>45791</v>
      </c>
      <c r="D80" s="3">
        <v>21973794.420000002</v>
      </c>
      <c r="E80" t="s">
        <v>215</v>
      </c>
    </row>
    <row r="81" spans="1:5" x14ac:dyDescent="0.25">
      <c r="A81" t="s">
        <v>294</v>
      </c>
      <c r="B81" t="s">
        <v>121</v>
      </c>
      <c r="C81" s="2">
        <v>45663</v>
      </c>
      <c r="D81" s="3">
        <v>30982704.800000001</v>
      </c>
      <c r="E81" t="s">
        <v>213</v>
      </c>
    </row>
    <row r="82" spans="1:5" x14ac:dyDescent="0.25">
      <c r="A82" t="s">
        <v>295</v>
      </c>
      <c r="B82" t="s">
        <v>122</v>
      </c>
      <c r="C82" s="2">
        <v>45782</v>
      </c>
      <c r="D82" s="3">
        <v>11839021.08</v>
      </c>
      <c r="E82" t="s">
        <v>217</v>
      </c>
    </row>
    <row r="83" spans="1:5" x14ac:dyDescent="0.25">
      <c r="A83" t="s">
        <v>296</v>
      </c>
      <c r="B83" t="s">
        <v>123</v>
      </c>
      <c r="C83" s="2">
        <v>45862</v>
      </c>
      <c r="D83" s="3">
        <v>40966614.810000002</v>
      </c>
      <c r="E83" t="s">
        <v>215</v>
      </c>
    </row>
    <row r="84" spans="1:5" x14ac:dyDescent="0.25">
      <c r="A84" t="s">
        <v>297</v>
      </c>
      <c r="B84" t="s">
        <v>124</v>
      </c>
      <c r="C84" s="2">
        <v>45784</v>
      </c>
      <c r="D84" s="3">
        <v>20077083.07</v>
      </c>
      <c r="E84" t="s">
        <v>215</v>
      </c>
    </row>
    <row r="85" spans="1:5" x14ac:dyDescent="0.25">
      <c r="A85" t="s">
        <v>298</v>
      </c>
      <c r="B85" t="s">
        <v>125</v>
      </c>
      <c r="C85" s="2">
        <v>45695</v>
      </c>
      <c r="D85" s="3">
        <v>17992896.07</v>
      </c>
      <c r="E85" t="s">
        <v>213</v>
      </c>
    </row>
    <row r="86" spans="1:5" x14ac:dyDescent="0.25">
      <c r="A86" t="s">
        <v>299</v>
      </c>
      <c r="B86" t="s">
        <v>126</v>
      </c>
      <c r="C86" s="2">
        <v>45686</v>
      </c>
      <c r="D86" s="3">
        <v>40133871.869999997</v>
      </c>
      <c r="E86" t="s">
        <v>217</v>
      </c>
    </row>
    <row r="87" spans="1:5" x14ac:dyDescent="0.25">
      <c r="A87" t="s">
        <v>300</v>
      </c>
      <c r="B87" t="s">
        <v>127</v>
      </c>
      <c r="C87" s="2">
        <v>45793</v>
      </c>
      <c r="D87" s="3">
        <v>32889079.190000001</v>
      </c>
      <c r="E87" t="s">
        <v>215</v>
      </c>
    </row>
    <row r="88" spans="1:5" x14ac:dyDescent="0.25">
      <c r="A88" t="s">
        <v>301</v>
      </c>
      <c r="B88" t="s">
        <v>128</v>
      </c>
      <c r="C88" s="2">
        <v>45825</v>
      </c>
      <c r="D88" s="3">
        <v>6600521.2000000002</v>
      </c>
      <c r="E88" t="s">
        <v>217</v>
      </c>
    </row>
    <row r="89" spans="1:5" x14ac:dyDescent="0.25">
      <c r="A89" t="s">
        <v>302</v>
      </c>
      <c r="B89" t="s">
        <v>129</v>
      </c>
      <c r="C89" s="2">
        <v>45743</v>
      </c>
      <c r="D89" s="3">
        <v>38904040.710000001</v>
      </c>
      <c r="E89" t="s">
        <v>217</v>
      </c>
    </row>
    <row r="90" spans="1:5" x14ac:dyDescent="0.25">
      <c r="A90" t="s">
        <v>303</v>
      </c>
      <c r="B90" t="s">
        <v>130</v>
      </c>
      <c r="C90" s="2">
        <v>45683</v>
      </c>
      <c r="D90" s="3">
        <v>2807820.06</v>
      </c>
      <c r="E90" t="s">
        <v>217</v>
      </c>
    </row>
    <row r="91" spans="1:5" x14ac:dyDescent="0.25">
      <c r="A91" t="s">
        <v>304</v>
      </c>
      <c r="B91" t="s">
        <v>131</v>
      </c>
      <c r="C91" s="2">
        <v>45759</v>
      </c>
      <c r="D91" s="3">
        <v>32672008.25</v>
      </c>
      <c r="E91" t="s">
        <v>215</v>
      </c>
    </row>
    <row r="92" spans="1:5" x14ac:dyDescent="0.25">
      <c r="A92" t="s">
        <v>305</v>
      </c>
      <c r="B92" t="s">
        <v>132</v>
      </c>
      <c r="C92" s="2">
        <v>45669</v>
      </c>
      <c r="D92" s="3">
        <v>42867798.549999997</v>
      </c>
      <c r="E92" t="s">
        <v>217</v>
      </c>
    </row>
    <row r="93" spans="1:5" x14ac:dyDescent="0.25">
      <c r="A93" t="s">
        <v>306</v>
      </c>
      <c r="B93" t="s">
        <v>133</v>
      </c>
      <c r="C93" s="2">
        <v>45850</v>
      </c>
      <c r="D93" s="3">
        <v>34658222.43</v>
      </c>
      <c r="E93" t="s">
        <v>215</v>
      </c>
    </row>
    <row r="94" spans="1:5" x14ac:dyDescent="0.25">
      <c r="A94" t="s">
        <v>307</v>
      </c>
      <c r="B94" t="s">
        <v>134</v>
      </c>
      <c r="C94" s="2">
        <v>45712</v>
      </c>
      <c r="D94" s="3">
        <v>6667712.2000000002</v>
      </c>
      <c r="E94" t="s">
        <v>213</v>
      </c>
    </row>
    <row r="95" spans="1:5" x14ac:dyDescent="0.25">
      <c r="A95" t="s">
        <v>308</v>
      </c>
      <c r="B95" t="s">
        <v>135</v>
      </c>
      <c r="C95" s="2">
        <v>45736</v>
      </c>
      <c r="D95" s="3">
        <v>47836300.490000002</v>
      </c>
      <c r="E95" t="s">
        <v>215</v>
      </c>
    </row>
    <row r="96" spans="1:5" x14ac:dyDescent="0.25">
      <c r="A96" t="s">
        <v>309</v>
      </c>
      <c r="B96" t="s">
        <v>136</v>
      </c>
      <c r="C96" s="2">
        <v>45838</v>
      </c>
      <c r="D96" s="3">
        <v>39440237.960000001</v>
      </c>
      <c r="E96" t="s">
        <v>215</v>
      </c>
    </row>
    <row r="97" spans="1:5" x14ac:dyDescent="0.25">
      <c r="A97" t="s">
        <v>310</v>
      </c>
      <c r="B97" t="s">
        <v>137</v>
      </c>
      <c r="C97" s="2">
        <v>45679</v>
      </c>
      <c r="D97" s="3">
        <v>41668500.520000003</v>
      </c>
      <c r="E97" t="s">
        <v>217</v>
      </c>
    </row>
    <row r="98" spans="1:5" x14ac:dyDescent="0.25">
      <c r="A98" t="s">
        <v>311</v>
      </c>
      <c r="B98" t="s">
        <v>138</v>
      </c>
      <c r="C98" s="2">
        <v>45856</v>
      </c>
      <c r="D98" s="3">
        <v>12685816.220000001</v>
      </c>
      <c r="E98" t="s">
        <v>213</v>
      </c>
    </row>
    <row r="99" spans="1:5" x14ac:dyDescent="0.25">
      <c r="A99" t="s">
        <v>312</v>
      </c>
      <c r="B99" t="s">
        <v>139</v>
      </c>
      <c r="C99" s="2">
        <v>45820</v>
      </c>
      <c r="D99" s="3">
        <v>13822130.34</v>
      </c>
      <c r="E99" t="s">
        <v>213</v>
      </c>
    </row>
    <row r="100" spans="1:5" x14ac:dyDescent="0.25">
      <c r="A100" t="s">
        <v>313</v>
      </c>
      <c r="B100" t="s">
        <v>140</v>
      </c>
      <c r="C100" s="2">
        <v>45699</v>
      </c>
      <c r="D100" s="3">
        <v>12782653.800000001</v>
      </c>
      <c r="E100" t="s">
        <v>213</v>
      </c>
    </row>
    <row r="101" spans="1:5" x14ac:dyDescent="0.25">
      <c r="A101" t="s">
        <v>314</v>
      </c>
      <c r="B101" t="s">
        <v>141</v>
      </c>
      <c r="C101" s="2">
        <v>45716</v>
      </c>
      <c r="D101" s="3">
        <v>29635199.550000001</v>
      </c>
      <c r="E101" t="s">
        <v>217</v>
      </c>
    </row>
    <row r="102" spans="1:5" x14ac:dyDescent="0.25">
      <c r="A102" t="s">
        <v>315</v>
      </c>
      <c r="B102" t="s">
        <v>142</v>
      </c>
      <c r="C102" s="2">
        <v>45792</v>
      </c>
      <c r="D102" s="3">
        <v>11946218.99</v>
      </c>
      <c r="E102" t="s">
        <v>213</v>
      </c>
    </row>
    <row r="103" spans="1:5" x14ac:dyDescent="0.25">
      <c r="A103" t="s">
        <v>316</v>
      </c>
      <c r="B103" t="s">
        <v>143</v>
      </c>
      <c r="C103" s="2">
        <v>45672</v>
      </c>
      <c r="D103" s="3">
        <v>10027213.210000001</v>
      </c>
      <c r="E103" t="s">
        <v>213</v>
      </c>
    </row>
    <row r="104" spans="1:5" x14ac:dyDescent="0.25">
      <c r="A104" t="s">
        <v>317</v>
      </c>
      <c r="B104" t="s">
        <v>144</v>
      </c>
      <c r="C104" s="2">
        <v>45704</v>
      </c>
      <c r="D104" s="3">
        <v>31864931.789999999</v>
      </c>
      <c r="E104" t="s">
        <v>213</v>
      </c>
    </row>
    <row r="105" spans="1:5" x14ac:dyDescent="0.25">
      <c r="A105" t="s">
        <v>318</v>
      </c>
      <c r="B105" t="s">
        <v>145</v>
      </c>
      <c r="C105" s="2">
        <v>45836</v>
      </c>
      <c r="D105" s="3">
        <v>16458434.119999999</v>
      </c>
      <c r="E105" t="s">
        <v>213</v>
      </c>
    </row>
    <row r="106" spans="1:5" x14ac:dyDescent="0.25">
      <c r="A106" t="s">
        <v>319</v>
      </c>
      <c r="B106" t="s">
        <v>146</v>
      </c>
      <c r="C106" s="2">
        <v>45706</v>
      </c>
      <c r="D106" s="3">
        <v>39626995.490000002</v>
      </c>
      <c r="E106" t="s">
        <v>213</v>
      </c>
    </row>
    <row r="107" spans="1:5" x14ac:dyDescent="0.25">
      <c r="A107" t="s">
        <v>320</v>
      </c>
      <c r="B107" t="s">
        <v>147</v>
      </c>
      <c r="C107" s="2">
        <v>45692</v>
      </c>
      <c r="D107" s="3">
        <v>38436459.829999998</v>
      </c>
      <c r="E107" t="s">
        <v>215</v>
      </c>
    </row>
    <row r="108" spans="1:5" x14ac:dyDescent="0.25">
      <c r="A108" t="s">
        <v>321</v>
      </c>
      <c r="B108" t="s">
        <v>148</v>
      </c>
      <c r="C108" s="2">
        <v>45825</v>
      </c>
      <c r="D108" s="3">
        <v>42928619.539999999</v>
      </c>
      <c r="E108" t="s">
        <v>213</v>
      </c>
    </row>
    <row r="109" spans="1:5" x14ac:dyDescent="0.25">
      <c r="A109" t="s">
        <v>322</v>
      </c>
      <c r="B109" t="s">
        <v>149</v>
      </c>
      <c r="C109" s="2">
        <v>45805</v>
      </c>
      <c r="D109" s="3">
        <v>26120480.41</v>
      </c>
      <c r="E109" t="s">
        <v>217</v>
      </c>
    </row>
    <row r="110" spans="1:5" x14ac:dyDescent="0.25">
      <c r="A110" t="s">
        <v>323</v>
      </c>
      <c r="B110" t="s">
        <v>150</v>
      </c>
      <c r="C110" s="2">
        <v>45689</v>
      </c>
      <c r="D110" s="3">
        <v>12676376.560000001</v>
      </c>
      <c r="E110" t="s">
        <v>217</v>
      </c>
    </row>
    <row r="111" spans="1:5" x14ac:dyDescent="0.25">
      <c r="A111" t="s">
        <v>324</v>
      </c>
      <c r="B111" t="s">
        <v>151</v>
      </c>
      <c r="C111" s="2">
        <v>45824</v>
      </c>
      <c r="D111" s="3">
        <v>42844309.359999999</v>
      </c>
      <c r="E111" t="s">
        <v>217</v>
      </c>
    </row>
    <row r="112" spans="1:5" x14ac:dyDescent="0.25">
      <c r="A112" t="s">
        <v>325</v>
      </c>
      <c r="B112" t="s">
        <v>152</v>
      </c>
      <c r="C112" s="2">
        <v>45867</v>
      </c>
      <c r="D112" s="3">
        <v>18636164.449999999</v>
      </c>
      <c r="E112" t="s">
        <v>213</v>
      </c>
    </row>
    <row r="113" spans="1:5" x14ac:dyDescent="0.25">
      <c r="A113" t="s">
        <v>326</v>
      </c>
      <c r="B113" t="s">
        <v>153</v>
      </c>
      <c r="C113" s="2">
        <v>45757</v>
      </c>
      <c r="D113" s="3">
        <v>28910289.539999999</v>
      </c>
      <c r="E113" t="s">
        <v>213</v>
      </c>
    </row>
    <row r="114" spans="1:5" x14ac:dyDescent="0.25">
      <c r="A114" t="s">
        <v>327</v>
      </c>
      <c r="B114" t="s">
        <v>154</v>
      </c>
      <c r="C114" s="2">
        <v>45747</v>
      </c>
      <c r="D114" s="3">
        <v>38255495.68</v>
      </c>
      <c r="E114" t="s">
        <v>213</v>
      </c>
    </row>
    <row r="115" spans="1:5" x14ac:dyDescent="0.25">
      <c r="A115" t="s">
        <v>328</v>
      </c>
      <c r="B115" t="s">
        <v>155</v>
      </c>
      <c r="C115" s="2">
        <v>45721</v>
      </c>
      <c r="D115" s="3">
        <v>8920127.3300000001</v>
      </c>
      <c r="E115" t="s">
        <v>217</v>
      </c>
    </row>
    <row r="116" spans="1:5" x14ac:dyDescent="0.25">
      <c r="A116" t="s">
        <v>329</v>
      </c>
      <c r="B116" t="s">
        <v>156</v>
      </c>
      <c r="C116" s="2">
        <v>45675</v>
      </c>
      <c r="D116" s="3">
        <v>14889531.75</v>
      </c>
      <c r="E116" t="s">
        <v>217</v>
      </c>
    </row>
    <row r="117" spans="1:5" x14ac:dyDescent="0.25">
      <c r="A117" t="s">
        <v>330</v>
      </c>
      <c r="B117" t="s">
        <v>157</v>
      </c>
      <c r="C117" s="2">
        <v>45727</v>
      </c>
      <c r="D117" s="3">
        <v>15572614.84</v>
      </c>
      <c r="E117" t="s">
        <v>217</v>
      </c>
    </row>
    <row r="118" spans="1:5" x14ac:dyDescent="0.25">
      <c r="A118" t="s">
        <v>331</v>
      </c>
      <c r="B118" t="s">
        <v>158</v>
      </c>
      <c r="C118" s="2">
        <v>45832</v>
      </c>
      <c r="D118" s="3">
        <v>44796576.710000001</v>
      </c>
      <c r="E118" t="s">
        <v>217</v>
      </c>
    </row>
    <row r="119" spans="1:5" x14ac:dyDescent="0.25">
      <c r="A119" t="s">
        <v>332</v>
      </c>
      <c r="B119" t="s">
        <v>159</v>
      </c>
      <c r="C119" s="2">
        <v>45663</v>
      </c>
      <c r="D119" s="3">
        <v>37381277.25</v>
      </c>
      <c r="E119" t="s">
        <v>215</v>
      </c>
    </row>
    <row r="120" spans="1:5" x14ac:dyDescent="0.25">
      <c r="A120" t="s">
        <v>333</v>
      </c>
      <c r="B120" t="s">
        <v>160</v>
      </c>
      <c r="C120" s="2">
        <v>45701</v>
      </c>
      <c r="D120" s="3">
        <v>14619483.789999999</v>
      </c>
      <c r="E120" t="s">
        <v>217</v>
      </c>
    </row>
    <row r="121" spans="1:5" x14ac:dyDescent="0.25">
      <c r="A121" t="s">
        <v>334</v>
      </c>
      <c r="B121" t="s">
        <v>161</v>
      </c>
      <c r="C121" s="2">
        <v>45773</v>
      </c>
      <c r="D121" s="3">
        <v>20942579.57</v>
      </c>
      <c r="E121" t="s">
        <v>213</v>
      </c>
    </row>
    <row r="122" spans="1:5" x14ac:dyDescent="0.25">
      <c r="A122" t="s">
        <v>335</v>
      </c>
      <c r="B122" t="s">
        <v>162</v>
      </c>
      <c r="C122" s="2">
        <v>45675</v>
      </c>
      <c r="D122" s="3">
        <v>6687962.3399999999</v>
      </c>
      <c r="E122" t="s">
        <v>215</v>
      </c>
    </row>
    <row r="123" spans="1:5" x14ac:dyDescent="0.25">
      <c r="A123" t="s">
        <v>336</v>
      </c>
      <c r="B123" t="s">
        <v>163</v>
      </c>
      <c r="C123" s="2">
        <v>45819</v>
      </c>
      <c r="D123" s="3">
        <v>32690110.449999999</v>
      </c>
      <c r="E123" t="s">
        <v>215</v>
      </c>
    </row>
    <row r="124" spans="1:5" x14ac:dyDescent="0.25">
      <c r="A124" t="s">
        <v>337</v>
      </c>
      <c r="B124" t="s">
        <v>164</v>
      </c>
      <c r="C124" s="2">
        <v>45676</v>
      </c>
      <c r="D124" s="3">
        <v>230513.12</v>
      </c>
      <c r="E124" t="s">
        <v>213</v>
      </c>
    </row>
    <row r="125" spans="1:5" x14ac:dyDescent="0.25">
      <c r="A125" t="s">
        <v>338</v>
      </c>
      <c r="B125" t="s">
        <v>165</v>
      </c>
      <c r="C125" s="2">
        <v>45740</v>
      </c>
      <c r="D125" s="3">
        <v>5407496.3499999996</v>
      </c>
      <c r="E125" t="s">
        <v>213</v>
      </c>
    </row>
    <row r="126" spans="1:5" x14ac:dyDescent="0.25">
      <c r="A126" t="s">
        <v>339</v>
      </c>
      <c r="B126" t="s">
        <v>166</v>
      </c>
      <c r="C126" s="2">
        <v>45799</v>
      </c>
      <c r="D126" s="3">
        <v>11290522.220000001</v>
      </c>
      <c r="E126" t="s">
        <v>217</v>
      </c>
    </row>
    <row r="127" spans="1:5" x14ac:dyDescent="0.25">
      <c r="A127" t="s">
        <v>340</v>
      </c>
      <c r="B127" t="s">
        <v>167</v>
      </c>
      <c r="C127" s="2">
        <v>45740</v>
      </c>
      <c r="D127" s="3">
        <v>29495671.210000001</v>
      </c>
      <c r="E127" t="s">
        <v>215</v>
      </c>
    </row>
    <row r="128" spans="1:5" x14ac:dyDescent="0.25">
      <c r="A128" t="s">
        <v>341</v>
      </c>
      <c r="B128" t="s">
        <v>168</v>
      </c>
      <c r="C128" s="2">
        <v>45756</v>
      </c>
      <c r="D128" s="3">
        <v>31234084.989999998</v>
      </c>
      <c r="E128" t="s">
        <v>213</v>
      </c>
    </row>
    <row r="129" spans="1:5" x14ac:dyDescent="0.25">
      <c r="A129" t="s">
        <v>342</v>
      </c>
      <c r="B129" t="s">
        <v>169</v>
      </c>
      <c r="C129" s="2">
        <v>45703</v>
      </c>
      <c r="D129" s="3">
        <v>6823960</v>
      </c>
      <c r="E129" t="s">
        <v>215</v>
      </c>
    </row>
    <row r="130" spans="1:5" x14ac:dyDescent="0.25">
      <c r="A130" t="s">
        <v>343</v>
      </c>
      <c r="B130" t="s">
        <v>170</v>
      </c>
      <c r="C130" s="2">
        <v>45844</v>
      </c>
      <c r="D130" s="3">
        <v>7550722.7300000004</v>
      </c>
      <c r="E130" t="s">
        <v>215</v>
      </c>
    </row>
    <row r="131" spans="1:5" x14ac:dyDescent="0.25">
      <c r="A131" t="s">
        <v>344</v>
      </c>
      <c r="B131" t="s">
        <v>171</v>
      </c>
      <c r="C131" s="2">
        <v>45679</v>
      </c>
      <c r="D131" s="3">
        <v>31946683.82</v>
      </c>
      <c r="E131" t="s">
        <v>217</v>
      </c>
    </row>
    <row r="132" spans="1:5" x14ac:dyDescent="0.25">
      <c r="A132" t="s">
        <v>345</v>
      </c>
      <c r="B132" t="s">
        <v>172</v>
      </c>
      <c r="C132" s="2">
        <v>45863</v>
      </c>
      <c r="D132" s="3">
        <v>13561031.1</v>
      </c>
      <c r="E132" t="s">
        <v>213</v>
      </c>
    </row>
    <row r="133" spans="1:5" x14ac:dyDescent="0.25">
      <c r="A133" t="s">
        <v>346</v>
      </c>
      <c r="B133" t="s">
        <v>173</v>
      </c>
      <c r="C133" s="2">
        <v>45665</v>
      </c>
      <c r="D133" s="3">
        <v>2900915.1</v>
      </c>
      <c r="E133" t="s">
        <v>217</v>
      </c>
    </row>
    <row r="134" spans="1:5" x14ac:dyDescent="0.25">
      <c r="A134" t="s">
        <v>347</v>
      </c>
      <c r="B134" t="s">
        <v>174</v>
      </c>
      <c r="C134" s="2">
        <v>45752</v>
      </c>
      <c r="D134" s="3">
        <v>29776740.829999998</v>
      </c>
      <c r="E134" t="s">
        <v>217</v>
      </c>
    </row>
    <row r="135" spans="1:5" x14ac:dyDescent="0.25">
      <c r="A135" t="s">
        <v>348</v>
      </c>
      <c r="B135" t="s">
        <v>175</v>
      </c>
      <c r="C135" s="2">
        <v>45776</v>
      </c>
      <c r="D135" s="3">
        <v>30133885.170000002</v>
      </c>
      <c r="E135" t="s">
        <v>217</v>
      </c>
    </row>
    <row r="136" spans="1:5" x14ac:dyDescent="0.25">
      <c r="A136" t="s">
        <v>349</v>
      </c>
      <c r="B136" t="s">
        <v>176</v>
      </c>
      <c r="C136" s="2">
        <v>45850</v>
      </c>
      <c r="D136" s="3">
        <v>24693297.91</v>
      </c>
      <c r="E136" t="s">
        <v>215</v>
      </c>
    </row>
    <row r="137" spans="1:5" x14ac:dyDescent="0.25">
      <c r="A137" t="s">
        <v>350</v>
      </c>
      <c r="B137" t="s">
        <v>177</v>
      </c>
      <c r="C137" s="2">
        <v>45663</v>
      </c>
      <c r="D137" s="3">
        <v>2295698.91</v>
      </c>
      <c r="E137" t="s">
        <v>217</v>
      </c>
    </row>
    <row r="138" spans="1:5" x14ac:dyDescent="0.25">
      <c r="A138" t="s">
        <v>351</v>
      </c>
      <c r="B138" t="s">
        <v>178</v>
      </c>
      <c r="C138" s="2">
        <v>45669</v>
      </c>
      <c r="D138" s="3">
        <v>20358837.350000001</v>
      </c>
      <c r="E138" t="s">
        <v>215</v>
      </c>
    </row>
    <row r="139" spans="1:5" x14ac:dyDescent="0.25">
      <c r="A139" t="s">
        <v>352</v>
      </c>
      <c r="B139" t="s">
        <v>179</v>
      </c>
      <c r="C139" s="2">
        <v>45703</v>
      </c>
      <c r="D139" s="3">
        <v>3013121.09</v>
      </c>
      <c r="E139" t="s">
        <v>215</v>
      </c>
    </row>
    <row r="140" spans="1:5" x14ac:dyDescent="0.25">
      <c r="A140" t="s">
        <v>353</v>
      </c>
      <c r="B140" t="s">
        <v>180</v>
      </c>
      <c r="C140" s="2">
        <v>45666</v>
      </c>
      <c r="D140" s="3">
        <v>30670715.43</v>
      </c>
      <c r="E140" t="s">
        <v>217</v>
      </c>
    </row>
    <row r="141" spans="1:5" x14ac:dyDescent="0.25">
      <c r="A141" t="s">
        <v>354</v>
      </c>
      <c r="B141" t="s">
        <v>181</v>
      </c>
      <c r="C141" s="2">
        <v>45713</v>
      </c>
      <c r="D141" s="3">
        <v>7199100.5899999999</v>
      </c>
      <c r="E141" t="s">
        <v>215</v>
      </c>
    </row>
    <row r="142" spans="1:5" x14ac:dyDescent="0.25">
      <c r="A142" t="s">
        <v>355</v>
      </c>
      <c r="B142" t="s">
        <v>182</v>
      </c>
      <c r="C142" s="2">
        <v>45795</v>
      </c>
      <c r="D142" s="3">
        <v>30443340.190000001</v>
      </c>
      <c r="E142" t="s">
        <v>217</v>
      </c>
    </row>
    <row r="143" spans="1:5" x14ac:dyDescent="0.25">
      <c r="A143" t="s">
        <v>356</v>
      </c>
      <c r="B143" t="s">
        <v>183</v>
      </c>
      <c r="C143" s="2">
        <v>45828</v>
      </c>
      <c r="D143" s="3">
        <v>32114341.390000001</v>
      </c>
      <c r="E143" t="s">
        <v>217</v>
      </c>
    </row>
    <row r="144" spans="1:5" x14ac:dyDescent="0.25">
      <c r="A144" t="s">
        <v>357</v>
      </c>
      <c r="B144" t="s">
        <v>184</v>
      </c>
      <c r="C144" s="2">
        <v>45707</v>
      </c>
      <c r="D144" s="3">
        <v>25477943.170000002</v>
      </c>
      <c r="E144" t="s">
        <v>215</v>
      </c>
    </row>
    <row r="145" spans="1:5" x14ac:dyDescent="0.25">
      <c r="A145" t="s">
        <v>358</v>
      </c>
      <c r="B145" t="s">
        <v>185</v>
      </c>
      <c r="C145" s="2">
        <v>45739</v>
      </c>
      <c r="D145" s="3">
        <v>31335594.359999999</v>
      </c>
      <c r="E145" t="s">
        <v>217</v>
      </c>
    </row>
    <row r="146" spans="1:5" x14ac:dyDescent="0.25">
      <c r="A146" t="s">
        <v>359</v>
      </c>
      <c r="B146" t="s">
        <v>186</v>
      </c>
      <c r="C146" s="2">
        <v>45863</v>
      </c>
      <c r="D146" s="3">
        <v>23948470.91</v>
      </c>
      <c r="E146" t="s">
        <v>217</v>
      </c>
    </row>
    <row r="147" spans="1:5" x14ac:dyDescent="0.25">
      <c r="A147" t="s">
        <v>360</v>
      </c>
      <c r="B147" t="s">
        <v>187</v>
      </c>
      <c r="C147" s="2">
        <v>45664</v>
      </c>
      <c r="D147" s="3">
        <v>18820421.170000002</v>
      </c>
      <c r="E147" t="s">
        <v>213</v>
      </c>
    </row>
    <row r="148" spans="1:5" x14ac:dyDescent="0.25">
      <c r="A148" t="s">
        <v>361</v>
      </c>
      <c r="B148" t="s">
        <v>188</v>
      </c>
      <c r="C148" s="2">
        <v>45853</v>
      </c>
      <c r="D148" s="3">
        <v>45621759.840000004</v>
      </c>
      <c r="E148" t="s">
        <v>215</v>
      </c>
    </row>
    <row r="149" spans="1:5" x14ac:dyDescent="0.25">
      <c r="A149" t="s">
        <v>362</v>
      </c>
      <c r="B149" t="s">
        <v>189</v>
      </c>
      <c r="C149" s="2">
        <v>45852</v>
      </c>
      <c r="D149" s="3">
        <v>32811009.91</v>
      </c>
      <c r="E149" t="s">
        <v>215</v>
      </c>
    </row>
    <row r="150" spans="1:5" x14ac:dyDescent="0.25">
      <c r="A150" t="s">
        <v>363</v>
      </c>
      <c r="B150" t="s">
        <v>190</v>
      </c>
      <c r="C150" s="2">
        <v>45720</v>
      </c>
      <c r="D150" s="3">
        <v>49830862.869999997</v>
      </c>
      <c r="E150" t="s">
        <v>213</v>
      </c>
    </row>
    <row r="151" spans="1:5" x14ac:dyDescent="0.25">
      <c r="A151" t="s">
        <v>364</v>
      </c>
      <c r="B151" t="s">
        <v>191</v>
      </c>
      <c r="C151" s="2">
        <v>45722</v>
      </c>
      <c r="D151" s="3">
        <v>32236585.68</v>
      </c>
      <c r="E151" t="s">
        <v>215</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CA134-1BC5-4CB9-B4CA-F9BDD53596A7}">
  <dimension ref="A1:C39"/>
  <sheetViews>
    <sheetView workbookViewId="0">
      <selection activeCell="C4" sqref="C4"/>
    </sheetView>
  </sheetViews>
  <sheetFormatPr defaultRowHeight="15" x14ac:dyDescent="0.25"/>
  <cols>
    <col min="1" max="1" width="16" bestFit="1" customWidth="1"/>
    <col min="2" max="2" width="9.28515625" bestFit="1" customWidth="1"/>
    <col min="3" max="3" width="13.7109375" bestFit="1" customWidth="1"/>
  </cols>
  <sheetData>
    <row r="1" spans="1:3" x14ac:dyDescent="0.25">
      <c r="A1" s="1" t="s">
        <v>405</v>
      </c>
    </row>
    <row r="3" spans="1:3" x14ac:dyDescent="0.25">
      <c r="A3" t="s">
        <v>365</v>
      </c>
      <c r="B3" t="s">
        <v>366</v>
      </c>
      <c r="C3" t="s">
        <v>367</v>
      </c>
    </row>
    <row r="4" spans="1:3" x14ac:dyDescent="0.25">
      <c r="A4" t="s">
        <v>10</v>
      </c>
      <c r="B4" t="s">
        <v>368</v>
      </c>
      <c r="C4">
        <v>300000000</v>
      </c>
    </row>
    <row r="5" spans="1:3" x14ac:dyDescent="0.25">
      <c r="A5" t="s">
        <v>10</v>
      </c>
      <c r="B5" t="s">
        <v>369</v>
      </c>
      <c r="C5">
        <v>210000000</v>
      </c>
    </row>
    <row r="6" spans="1:3" x14ac:dyDescent="0.25">
      <c r="A6" t="s">
        <v>10</v>
      </c>
      <c r="B6" t="s">
        <v>370</v>
      </c>
      <c r="C6">
        <v>130000000</v>
      </c>
    </row>
    <row r="7" spans="1:3" x14ac:dyDescent="0.25">
      <c r="A7" t="s">
        <v>10</v>
      </c>
      <c r="B7" t="s">
        <v>371</v>
      </c>
      <c r="C7">
        <v>140000000</v>
      </c>
    </row>
    <row r="8" spans="1:3" x14ac:dyDescent="0.25">
      <c r="A8" t="s">
        <v>10</v>
      </c>
      <c r="B8" t="s">
        <v>372</v>
      </c>
      <c r="C8">
        <v>250000000</v>
      </c>
    </row>
    <row r="9" spans="1:3" x14ac:dyDescent="0.25">
      <c r="A9" t="s">
        <v>10</v>
      </c>
      <c r="B9" t="s">
        <v>373</v>
      </c>
      <c r="C9">
        <v>110000000</v>
      </c>
    </row>
    <row r="10" spans="1:3" x14ac:dyDescent="0.25">
      <c r="A10" t="s">
        <v>46</v>
      </c>
      <c r="B10" t="s">
        <v>368</v>
      </c>
      <c r="C10">
        <v>170000000</v>
      </c>
    </row>
    <row r="11" spans="1:3" x14ac:dyDescent="0.25">
      <c r="A11" t="s">
        <v>46</v>
      </c>
      <c r="B11" t="s">
        <v>369</v>
      </c>
      <c r="C11">
        <v>150000000</v>
      </c>
    </row>
    <row r="12" spans="1:3" x14ac:dyDescent="0.25">
      <c r="A12" t="s">
        <v>46</v>
      </c>
      <c r="B12" t="s">
        <v>370</v>
      </c>
      <c r="C12">
        <v>240000000</v>
      </c>
    </row>
    <row r="13" spans="1:3" x14ac:dyDescent="0.25">
      <c r="A13" t="s">
        <v>46</v>
      </c>
      <c r="B13" t="s">
        <v>371</v>
      </c>
      <c r="C13">
        <v>120000000</v>
      </c>
    </row>
    <row r="14" spans="1:3" x14ac:dyDescent="0.25">
      <c r="A14" t="s">
        <v>46</v>
      </c>
      <c r="B14" t="s">
        <v>372</v>
      </c>
      <c r="C14">
        <v>170000000</v>
      </c>
    </row>
    <row r="15" spans="1:3" x14ac:dyDescent="0.25">
      <c r="A15" t="s">
        <v>46</v>
      </c>
      <c r="B15" t="s">
        <v>373</v>
      </c>
      <c r="C15">
        <v>250000000</v>
      </c>
    </row>
    <row r="16" spans="1:3" x14ac:dyDescent="0.25">
      <c r="A16" t="s">
        <v>28</v>
      </c>
      <c r="B16" t="s">
        <v>368</v>
      </c>
      <c r="C16">
        <v>280000000</v>
      </c>
    </row>
    <row r="17" spans="1:3" x14ac:dyDescent="0.25">
      <c r="A17" t="s">
        <v>28</v>
      </c>
      <c r="B17" t="s">
        <v>369</v>
      </c>
      <c r="C17">
        <v>110000000</v>
      </c>
    </row>
    <row r="18" spans="1:3" x14ac:dyDescent="0.25">
      <c r="A18" t="s">
        <v>28</v>
      </c>
      <c r="B18" t="s">
        <v>370</v>
      </c>
      <c r="C18">
        <v>100000000</v>
      </c>
    </row>
    <row r="19" spans="1:3" x14ac:dyDescent="0.25">
      <c r="A19" t="s">
        <v>28</v>
      </c>
      <c r="B19" t="s">
        <v>371</v>
      </c>
      <c r="C19">
        <v>280000000</v>
      </c>
    </row>
    <row r="20" spans="1:3" x14ac:dyDescent="0.25">
      <c r="A20" t="s">
        <v>28</v>
      </c>
      <c r="B20" t="s">
        <v>372</v>
      </c>
      <c r="C20">
        <v>150000000</v>
      </c>
    </row>
    <row r="21" spans="1:3" x14ac:dyDescent="0.25">
      <c r="A21" t="s">
        <v>28</v>
      </c>
      <c r="B21" t="s">
        <v>373</v>
      </c>
      <c r="C21">
        <v>110000000</v>
      </c>
    </row>
    <row r="22" spans="1:3" x14ac:dyDescent="0.25">
      <c r="A22" t="s">
        <v>62</v>
      </c>
      <c r="B22" t="s">
        <v>368</v>
      </c>
      <c r="C22">
        <v>70000000</v>
      </c>
    </row>
    <row r="23" spans="1:3" x14ac:dyDescent="0.25">
      <c r="A23" t="s">
        <v>62</v>
      </c>
      <c r="B23" t="s">
        <v>369</v>
      </c>
      <c r="C23">
        <v>210000000</v>
      </c>
    </row>
    <row r="24" spans="1:3" x14ac:dyDescent="0.25">
      <c r="A24" t="s">
        <v>62</v>
      </c>
      <c r="B24" t="s">
        <v>370</v>
      </c>
      <c r="C24">
        <v>50000000</v>
      </c>
    </row>
    <row r="25" spans="1:3" x14ac:dyDescent="0.25">
      <c r="A25" t="s">
        <v>62</v>
      </c>
      <c r="B25" t="s">
        <v>371</v>
      </c>
      <c r="C25">
        <v>100000000</v>
      </c>
    </row>
    <row r="26" spans="1:3" x14ac:dyDescent="0.25">
      <c r="A26" t="s">
        <v>62</v>
      </c>
      <c r="B26" t="s">
        <v>372</v>
      </c>
      <c r="C26">
        <v>130000000</v>
      </c>
    </row>
    <row r="27" spans="1:3" x14ac:dyDescent="0.25">
      <c r="A27" t="s">
        <v>62</v>
      </c>
      <c r="B27" t="s">
        <v>373</v>
      </c>
      <c r="C27">
        <v>120000000</v>
      </c>
    </row>
    <row r="28" spans="1:3" x14ac:dyDescent="0.25">
      <c r="A28" t="s">
        <v>25</v>
      </c>
      <c r="B28" t="s">
        <v>368</v>
      </c>
      <c r="C28">
        <v>130000000</v>
      </c>
    </row>
    <row r="29" spans="1:3" x14ac:dyDescent="0.25">
      <c r="A29" t="s">
        <v>25</v>
      </c>
      <c r="B29" t="s">
        <v>369</v>
      </c>
      <c r="C29">
        <v>250000000</v>
      </c>
    </row>
    <row r="30" spans="1:3" x14ac:dyDescent="0.25">
      <c r="A30" t="s">
        <v>25</v>
      </c>
      <c r="B30" t="s">
        <v>370</v>
      </c>
      <c r="C30">
        <v>220000000</v>
      </c>
    </row>
    <row r="31" spans="1:3" x14ac:dyDescent="0.25">
      <c r="A31" t="s">
        <v>25</v>
      </c>
      <c r="B31" t="s">
        <v>371</v>
      </c>
      <c r="C31">
        <v>260000000</v>
      </c>
    </row>
    <row r="32" spans="1:3" x14ac:dyDescent="0.25">
      <c r="A32" t="s">
        <v>25</v>
      </c>
      <c r="B32" t="s">
        <v>372</v>
      </c>
      <c r="C32">
        <v>180000000</v>
      </c>
    </row>
    <row r="33" spans="1:3" x14ac:dyDescent="0.25">
      <c r="A33" t="s">
        <v>25</v>
      </c>
      <c r="B33" t="s">
        <v>373</v>
      </c>
      <c r="C33">
        <v>260000000</v>
      </c>
    </row>
    <row r="34" spans="1:3" x14ac:dyDescent="0.25">
      <c r="A34" t="s">
        <v>20</v>
      </c>
      <c r="B34" t="s">
        <v>368</v>
      </c>
      <c r="C34">
        <v>150000000</v>
      </c>
    </row>
    <row r="35" spans="1:3" x14ac:dyDescent="0.25">
      <c r="A35" t="s">
        <v>20</v>
      </c>
      <c r="B35" t="s">
        <v>369</v>
      </c>
      <c r="C35">
        <v>280000000</v>
      </c>
    </row>
    <row r="36" spans="1:3" x14ac:dyDescent="0.25">
      <c r="A36" t="s">
        <v>20</v>
      </c>
      <c r="B36" t="s">
        <v>370</v>
      </c>
      <c r="C36">
        <v>270000000</v>
      </c>
    </row>
    <row r="37" spans="1:3" x14ac:dyDescent="0.25">
      <c r="A37" t="s">
        <v>20</v>
      </c>
      <c r="B37" t="s">
        <v>371</v>
      </c>
      <c r="C37">
        <v>130000000</v>
      </c>
    </row>
    <row r="38" spans="1:3" x14ac:dyDescent="0.25">
      <c r="A38" t="s">
        <v>20</v>
      </c>
      <c r="B38" t="s">
        <v>372</v>
      </c>
      <c r="C38">
        <v>270000000</v>
      </c>
    </row>
    <row r="39" spans="1:3" x14ac:dyDescent="0.25">
      <c r="A39" t="s">
        <v>20</v>
      </c>
      <c r="B39" t="s">
        <v>373</v>
      </c>
      <c r="C39">
        <v>60000000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47"/>
  <sheetViews>
    <sheetView topLeftCell="C11" workbookViewId="0">
      <selection activeCell="M15" sqref="M15"/>
    </sheetView>
  </sheetViews>
  <sheetFormatPr defaultRowHeight="15" x14ac:dyDescent="0.25"/>
  <cols>
    <col min="1" max="1" width="15.7109375" customWidth="1"/>
    <col min="3" max="3" width="16.28515625" customWidth="1"/>
    <col min="4" max="4" width="16.7109375" customWidth="1"/>
    <col min="6" max="6" width="18.140625" bestFit="1" customWidth="1"/>
    <col min="7" max="7" width="16.28515625" bestFit="1" customWidth="1"/>
    <col min="8" max="12" width="10" bestFit="1" customWidth="1"/>
    <col min="13" max="13" width="11.28515625" bestFit="1" customWidth="1"/>
    <col min="14" max="106" width="10.42578125" bestFit="1" customWidth="1"/>
    <col min="107" max="107" width="7.7109375" bestFit="1" customWidth="1"/>
    <col min="108" max="108" width="11.28515625" bestFit="1" customWidth="1"/>
  </cols>
  <sheetData>
    <row r="1" spans="1:13" x14ac:dyDescent="0.25">
      <c r="A1" s="1" t="s">
        <v>365</v>
      </c>
      <c r="B1" s="1" t="s">
        <v>366</v>
      </c>
      <c r="C1" s="1" t="s">
        <v>367</v>
      </c>
    </row>
    <row r="2" spans="1:13" x14ac:dyDescent="0.25">
      <c r="A2" t="s">
        <v>20</v>
      </c>
      <c r="B2" t="s">
        <v>368</v>
      </c>
      <c r="C2">
        <v>150000000</v>
      </c>
    </row>
    <row r="3" spans="1:13" x14ac:dyDescent="0.25">
      <c r="A3" t="s">
        <v>20</v>
      </c>
      <c r="B3" t="s">
        <v>369</v>
      </c>
      <c r="C3">
        <v>280000000</v>
      </c>
    </row>
    <row r="4" spans="1:13" x14ac:dyDescent="0.25">
      <c r="A4" t="s">
        <v>20</v>
      </c>
      <c r="B4" t="s">
        <v>370</v>
      </c>
      <c r="C4">
        <v>270000000</v>
      </c>
    </row>
    <row r="5" spans="1:13" x14ac:dyDescent="0.25">
      <c r="A5" t="s">
        <v>20</v>
      </c>
      <c r="B5" t="s">
        <v>371</v>
      </c>
      <c r="C5">
        <v>130000000</v>
      </c>
      <c r="F5" t="s">
        <v>394</v>
      </c>
    </row>
    <row r="6" spans="1:13" x14ac:dyDescent="0.25">
      <c r="A6" t="s">
        <v>20</v>
      </c>
      <c r="B6" t="s">
        <v>372</v>
      </c>
      <c r="C6">
        <v>270000000</v>
      </c>
    </row>
    <row r="7" spans="1:13" x14ac:dyDescent="0.25">
      <c r="A7" t="s">
        <v>20</v>
      </c>
      <c r="B7" t="s">
        <v>373</v>
      </c>
      <c r="C7">
        <v>60000000</v>
      </c>
      <c r="F7" s="5" t="s">
        <v>387</v>
      </c>
      <c r="G7" s="5" t="s">
        <v>384</v>
      </c>
    </row>
    <row r="8" spans="1:13" x14ac:dyDescent="0.25">
      <c r="A8" t="s">
        <v>25</v>
      </c>
      <c r="B8" t="s">
        <v>368</v>
      </c>
      <c r="C8">
        <v>130000000</v>
      </c>
      <c r="F8" s="5" t="s">
        <v>379</v>
      </c>
      <c r="G8" t="s">
        <v>368</v>
      </c>
      <c r="H8" t="s">
        <v>369</v>
      </c>
      <c r="I8" t="s">
        <v>370</v>
      </c>
      <c r="J8" t="s">
        <v>371</v>
      </c>
      <c r="K8" t="s">
        <v>372</v>
      </c>
      <c r="L8" t="s">
        <v>373</v>
      </c>
      <c r="M8" t="s">
        <v>380</v>
      </c>
    </row>
    <row r="9" spans="1:13" x14ac:dyDescent="0.25">
      <c r="A9" t="s">
        <v>25</v>
      </c>
      <c r="B9" t="s">
        <v>369</v>
      </c>
      <c r="C9">
        <v>250000000</v>
      </c>
      <c r="F9" s="6" t="s">
        <v>10</v>
      </c>
      <c r="G9">
        <v>300000000</v>
      </c>
      <c r="H9">
        <v>210000000</v>
      </c>
      <c r="I9">
        <v>130000000</v>
      </c>
      <c r="J9">
        <v>140000000</v>
      </c>
      <c r="K9">
        <v>250000000</v>
      </c>
      <c r="L9">
        <v>110000000</v>
      </c>
      <c r="M9">
        <v>1140000000</v>
      </c>
    </row>
    <row r="10" spans="1:13" x14ac:dyDescent="0.25">
      <c r="A10" t="s">
        <v>25</v>
      </c>
      <c r="B10" t="s">
        <v>370</v>
      </c>
      <c r="C10">
        <v>220000000</v>
      </c>
      <c r="F10" s="6" t="s">
        <v>46</v>
      </c>
      <c r="G10">
        <v>170000000</v>
      </c>
      <c r="H10">
        <v>150000000</v>
      </c>
      <c r="I10">
        <v>240000000</v>
      </c>
      <c r="J10">
        <v>120000000</v>
      </c>
      <c r="K10">
        <v>170000000</v>
      </c>
      <c r="L10">
        <v>250000000</v>
      </c>
      <c r="M10">
        <v>1100000000</v>
      </c>
    </row>
    <row r="11" spans="1:13" x14ac:dyDescent="0.25">
      <c r="A11" t="s">
        <v>25</v>
      </c>
      <c r="B11" t="s">
        <v>371</v>
      </c>
      <c r="C11">
        <v>260000000</v>
      </c>
      <c r="F11" s="6" t="s">
        <v>28</v>
      </c>
      <c r="G11">
        <v>280000000</v>
      </c>
      <c r="H11">
        <v>110000000</v>
      </c>
      <c r="I11">
        <v>100000000</v>
      </c>
      <c r="J11">
        <v>280000000</v>
      </c>
      <c r="K11">
        <v>150000000</v>
      </c>
      <c r="L11">
        <v>110000000</v>
      </c>
      <c r="M11">
        <v>1030000000</v>
      </c>
    </row>
    <row r="12" spans="1:13" x14ac:dyDescent="0.25">
      <c r="A12" t="s">
        <v>25</v>
      </c>
      <c r="B12" t="s">
        <v>372</v>
      </c>
      <c r="C12">
        <v>180000000</v>
      </c>
      <c r="F12" s="6" t="s">
        <v>62</v>
      </c>
      <c r="G12">
        <v>70000000</v>
      </c>
      <c r="H12">
        <v>210000000</v>
      </c>
      <c r="I12">
        <v>50000000</v>
      </c>
      <c r="J12">
        <v>100000000</v>
      </c>
      <c r="K12">
        <v>130000000</v>
      </c>
      <c r="L12">
        <v>120000000</v>
      </c>
      <c r="M12">
        <v>680000000</v>
      </c>
    </row>
    <row r="13" spans="1:13" x14ac:dyDescent="0.25">
      <c r="A13" t="s">
        <v>25</v>
      </c>
      <c r="B13" t="s">
        <v>373</v>
      </c>
      <c r="C13">
        <v>260000000</v>
      </c>
      <c r="F13" s="6" t="s">
        <v>25</v>
      </c>
      <c r="G13">
        <v>130000000</v>
      </c>
      <c r="H13">
        <v>250000000</v>
      </c>
      <c r="I13">
        <v>220000000</v>
      </c>
      <c r="J13">
        <v>260000000</v>
      </c>
      <c r="K13">
        <v>180000000</v>
      </c>
      <c r="L13">
        <v>260000000</v>
      </c>
      <c r="M13">
        <v>1300000000</v>
      </c>
    </row>
    <row r="14" spans="1:13" x14ac:dyDescent="0.25">
      <c r="A14" t="s">
        <v>10</v>
      </c>
      <c r="B14" t="s">
        <v>368</v>
      </c>
      <c r="C14">
        <v>300000000</v>
      </c>
      <c r="F14" s="6" t="s">
        <v>20</v>
      </c>
      <c r="G14">
        <v>150000000</v>
      </c>
      <c r="H14">
        <v>280000000</v>
      </c>
      <c r="I14">
        <v>270000000</v>
      </c>
      <c r="J14">
        <v>130000000</v>
      </c>
      <c r="K14">
        <v>270000000</v>
      </c>
      <c r="L14">
        <v>60000000</v>
      </c>
      <c r="M14">
        <v>1160000000</v>
      </c>
    </row>
    <row r="15" spans="1:13" x14ac:dyDescent="0.25">
      <c r="A15" t="s">
        <v>10</v>
      </c>
      <c r="B15" t="s">
        <v>369</v>
      </c>
      <c r="C15">
        <v>210000000</v>
      </c>
      <c r="F15" s="6" t="s">
        <v>380</v>
      </c>
      <c r="G15">
        <v>1100000000</v>
      </c>
      <c r="H15">
        <v>1210000000</v>
      </c>
      <c r="I15">
        <v>1010000000</v>
      </c>
      <c r="J15">
        <v>1030000000</v>
      </c>
      <c r="K15">
        <v>1150000000</v>
      </c>
      <c r="L15">
        <v>910000000</v>
      </c>
      <c r="M15">
        <v>6410000000</v>
      </c>
    </row>
    <row r="16" spans="1:13" x14ac:dyDescent="0.25">
      <c r="A16" t="s">
        <v>10</v>
      </c>
      <c r="B16" t="s">
        <v>370</v>
      </c>
      <c r="C16">
        <v>130000000</v>
      </c>
    </row>
    <row r="17" spans="1:13" x14ac:dyDescent="0.25">
      <c r="A17" t="s">
        <v>10</v>
      </c>
      <c r="B17" t="s">
        <v>371</v>
      </c>
      <c r="C17">
        <v>140000000</v>
      </c>
    </row>
    <row r="18" spans="1:13" x14ac:dyDescent="0.25">
      <c r="A18" t="s">
        <v>10</v>
      </c>
      <c r="B18" t="s">
        <v>372</v>
      </c>
      <c r="C18">
        <v>250000000</v>
      </c>
    </row>
    <row r="19" spans="1:13" x14ac:dyDescent="0.25">
      <c r="A19" t="s">
        <v>10</v>
      </c>
      <c r="B19" t="s">
        <v>373</v>
      </c>
      <c r="C19">
        <v>110000000</v>
      </c>
      <c r="F19" t="s">
        <v>395</v>
      </c>
    </row>
    <row r="20" spans="1:13" x14ac:dyDescent="0.25">
      <c r="A20" t="s">
        <v>62</v>
      </c>
      <c r="B20" t="s">
        <v>368</v>
      </c>
      <c r="C20">
        <v>70000000</v>
      </c>
    </row>
    <row r="21" spans="1:13" x14ac:dyDescent="0.25">
      <c r="A21" t="s">
        <v>62</v>
      </c>
      <c r="B21" t="s">
        <v>369</v>
      </c>
      <c r="C21">
        <v>210000000</v>
      </c>
      <c r="F21" s="5" t="s">
        <v>381</v>
      </c>
      <c r="G21" s="5" t="s">
        <v>384</v>
      </c>
    </row>
    <row r="22" spans="1:13" x14ac:dyDescent="0.25">
      <c r="A22" t="s">
        <v>62</v>
      </c>
      <c r="B22" t="s">
        <v>370</v>
      </c>
      <c r="C22">
        <v>50000000</v>
      </c>
      <c r="G22" t="s">
        <v>368</v>
      </c>
      <c r="H22" t="s">
        <v>369</v>
      </c>
      <c r="I22" t="s">
        <v>370</v>
      </c>
      <c r="J22" t="s">
        <v>371</v>
      </c>
      <c r="K22" t="s">
        <v>372</v>
      </c>
      <c r="L22" t="s">
        <v>373</v>
      </c>
      <c r="M22" t="s">
        <v>380</v>
      </c>
    </row>
    <row r="23" spans="1:13" x14ac:dyDescent="0.25">
      <c r="A23" t="s">
        <v>62</v>
      </c>
      <c r="B23" t="s">
        <v>371</v>
      </c>
      <c r="C23">
        <v>100000000</v>
      </c>
    </row>
    <row r="24" spans="1:13" x14ac:dyDescent="0.25">
      <c r="A24" t="s">
        <v>62</v>
      </c>
      <c r="B24" t="s">
        <v>372</v>
      </c>
      <c r="C24">
        <v>130000000</v>
      </c>
      <c r="F24" s="5" t="s">
        <v>379</v>
      </c>
    </row>
    <row r="25" spans="1:13" x14ac:dyDescent="0.25">
      <c r="A25" t="s">
        <v>62</v>
      </c>
      <c r="B25" t="s">
        <v>373</v>
      </c>
      <c r="C25">
        <v>120000000</v>
      </c>
      <c r="F25" s="6" t="s">
        <v>10</v>
      </c>
      <c r="G25" s="3">
        <v>171592416.55999997</v>
      </c>
      <c r="H25" s="3">
        <v>212343269.41999999</v>
      </c>
      <c r="I25" s="3">
        <v>19409515.370000001</v>
      </c>
      <c r="J25" s="3">
        <v>58748947.189999998</v>
      </c>
      <c r="K25" s="3">
        <v>232011993.18000001</v>
      </c>
      <c r="L25" s="3">
        <v>189256174.50999999</v>
      </c>
      <c r="M25" s="3">
        <v>883362316.23000002</v>
      </c>
    </row>
    <row r="26" spans="1:13" x14ac:dyDescent="0.25">
      <c r="A26" t="s">
        <v>28</v>
      </c>
      <c r="B26" t="s">
        <v>368</v>
      </c>
      <c r="C26">
        <v>280000000</v>
      </c>
      <c r="F26" s="6" t="s">
        <v>46</v>
      </c>
      <c r="G26" s="3">
        <v>80205785.75999999</v>
      </c>
      <c r="H26" s="3">
        <v>171977331.72</v>
      </c>
      <c r="I26" s="3">
        <v>103485468.68000001</v>
      </c>
      <c r="J26" s="3">
        <v>408472709.01999998</v>
      </c>
      <c r="K26" s="3">
        <v>290043743.25999999</v>
      </c>
      <c r="L26" s="3">
        <v>173279009.14000002</v>
      </c>
      <c r="M26" s="3">
        <v>1227464047.5799999</v>
      </c>
    </row>
    <row r="27" spans="1:13" x14ac:dyDescent="0.25">
      <c r="A27" t="s">
        <v>28</v>
      </c>
      <c r="B27" t="s">
        <v>369</v>
      </c>
      <c r="C27">
        <v>110000000</v>
      </c>
      <c r="F27" s="6" t="s">
        <v>28</v>
      </c>
      <c r="G27" s="3">
        <v>85598119.189999998</v>
      </c>
      <c r="H27" s="3">
        <v>43293535.32</v>
      </c>
      <c r="I27" s="3">
        <v>11607544.92</v>
      </c>
      <c r="J27" s="3">
        <v>207279595.36000001</v>
      </c>
      <c r="K27" s="3">
        <v>42302832.959999993</v>
      </c>
      <c r="L27" s="3">
        <v>168452253.67000002</v>
      </c>
      <c r="M27" s="3">
        <v>558533881.41999996</v>
      </c>
    </row>
    <row r="28" spans="1:13" x14ac:dyDescent="0.25">
      <c r="A28" t="s">
        <v>28</v>
      </c>
      <c r="B28" t="s">
        <v>370</v>
      </c>
      <c r="C28">
        <v>100000000</v>
      </c>
      <c r="F28" s="6" t="s">
        <v>62</v>
      </c>
      <c r="G28" s="3">
        <v>198343429.94</v>
      </c>
      <c r="H28" s="3">
        <v>141624476.39999998</v>
      </c>
      <c r="I28" s="3">
        <v>76655681.269999996</v>
      </c>
      <c r="J28" s="3">
        <v>158840836.05999997</v>
      </c>
      <c r="K28" s="3">
        <v>99907242</v>
      </c>
      <c r="L28" s="3">
        <v>66765315.649999999</v>
      </c>
      <c r="M28" s="3">
        <v>742136981.31999993</v>
      </c>
    </row>
    <row r="29" spans="1:13" x14ac:dyDescent="0.25">
      <c r="A29" t="s">
        <v>28</v>
      </c>
      <c r="B29" t="s">
        <v>371</v>
      </c>
      <c r="C29">
        <v>280000000</v>
      </c>
      <c r="F29" s="6" t="s">
        <v>25</v>
      </c>
      <c r="G29" s="3">
        <v>93810681.859999999</v>
      </c>
      <c r="H29" s="3">
        <v>182648038.94</v>
      </c>
      <c r="I29" s="3">
        <v>66509698.890000001</v>
      </c>
      <c r="J29" s="3">
        <v>24719359.5</v>
      </c>
      <c r="K29" s="3">
        <v>59232759.479999997</v>
      </c>
      <c r="L29" s="3">
        <v>146547881.09999999</v>
      </c>
      <c r="M29" s="3">
        <v>573468419.76999998</v>
      </c>
    </row>
    <row r="30" spans="1:13" x14ac:dyDescent="0.25">
      <c r="A30" t="s">
        <v>28</v>
      </c>
      <c r="B30" t="s">
        <v>372</v>
      </c>
      <c r="C30">
        <v>150000000</v>
      </c>
      <c r="F30" s="6" t="s">
        <v>20</v>
      </c>
      <c r="G30" s="3">
        <v>204719045.69999999</v>
      </c>
      <c r="H30" s="3">
        <v>39436157.379999995</v>
      </c>
      <c r="I30" s="3">
        <v>147036400.83000001</v>
      </c>
      <c r="J30" s="3">
        <v>79176212.549999997</v>
      </c>
      <c r="K30" s="3">
        <v>183181717.44</v>
      </c>
      <c r="L30" s="3">
        <v>38198238.189999998</v>
      </c>
      <c r="M30" s="3">
        <v>691747772.08999991</v>
      </c>
    </row>
    <row r="31" spans="1:13" x14ac:dyDescent="0.25">
      <c r="A31" t="s">
        <v>28</v>
      </c>
      <c r="B31" t="s">
        <v>373</v>
      </c>
      <c r="C31">
        <v>110000000</v>
      </c>
      <c r="F31" s="6" t="s">
        <v>380</v>
      </c>
      <c r="G31" s="3">
        <v>834269479.00999999</v>
      </c>
      <c r="H31" s="3">
        <v>791322809.17999995</v>
      </c>
      <c r="I31" s="3">
        <v>424704309.96000004</v>
      </c>
      <c r="J31" s="3">
        <v>937237659.67999983</v>
      </c>
      <c r="K31" s="3">
        <v>906680288.31999993</v>
      </c>
      <c r="L31" s="3">
        <v>782498872.25999999</v>
      </c>
      <c r="M31" s="3">
        <v>4676713418.4099998</v>
      </c>
    </row>
    <row r="32" spans="1:13" x14ac:dyDescent="0.25">
      <c r="A32" t="s">
        <v>46</v>
      </c>
      <c r="B32" t="s">
        <v>368</v>
      </c>
      <c r="C32">
        <v>170000000</v>
      </c>
    </row>
    <row r="33" spans="1:13" x14ac:dyDescent="0.25">
      <c r="A33" t="s">
        <v>46</v>
      </c>
      <c r="B33" t="s">
        <v>369</v>
      </c>
      <c r="C33">
        <v>150000000</v>
      </c>
    </row>
    <row r="34" spans="1:13" x14ac:dyDescent="0.25">
      <c r="A34" t="s">
        <v>46</v>
      </c>
      <c r="B34" t="s">
        <v>370</v>
      </c>
      <c r="C34">
        <v>240000000</v>
      </c>
    </row>
    <row r="35" spans="1:13" x14ac:dyDescent="0.25">
      <c r="A35" t="s">
        <v>46</v>
      </c>
      <c r="B35" t="s">
        <v>371</v>
      </c>
      <c r="C35">
        <v>120000000</v>
      </c>
    </row>
    <row r="36" spans="1:13" x14ac:dyDescent="0.25">
      <c r="A36" t="s">
        <v>46</v>
      </c>
      <c r="B36" t="s">
        <v>372</v>
      </c>
      <c r="C36">
        <v>170000000</v>
      </c>
    </row>
    <row r="37" spans="1:13" x14ac:dyDescent="0.25">
      <c r="A37" t="s">
        <v>46</v>
      </c>
      <c r="B37" t="s">
        <v>373</v>
      </c>
      <c r="C37">
        <v>250000000</v>
      </c>
    </row>
    <row r="40" spans="1:13" x14ac:dyDescent="0.25">
      <c r="G40" s="4" t="s">
        <v>368</v>
      </c>
      <c r="H40" s="4" t="s">
        <v>369</v>
      </c>
      <c r="I40" s="4" t="s">
        <v>370</v>
      </c>
      <c r="J40" s="4" t="s">
        <v>371</v>
      </c>
      <c r="K40" s="4" t="s">
        <v>372</v>
      </c>
      <c r="L40" s="4" t="s">
        <v>373</v>
      </c>
      <c r="M40" s="4" t="s">
        <v>380</v>
      </c>
    </row>
    <row r="41" spans="1:13" x14ac:dyDescent="0.25">
      <c r="F41" s="6" t="s">
        <v>10</v>
      </c>
      <c r="G41" s="7"/>
    </row>
    <row r="42" spans="1:13" x14ac:dyDescent="0.25">
      <c r="F42" s="6" t="s">
        <v>46</v>
      </c>
    </row>
    <row r="43" spans="1:13" x14ac:dyDescent="0.25">
      <c r="F43" s="6" t="s">
        <v>28</v>
      </c>
    </row>
    <row r="44" spans="1:13" x14ac:dyDescent="0.25">
      <c r="F44" s="6" t="s">
        <v>62</v>
      </c>
    </row>
    <row r="45" spans="1:13" x14ac:dyDescent="0.25">
      <c r="F45" s="6" t="s">
        <v>25</v>
      </c>
    </row>
    <row r="46" spans="1:13" x14ac:dyDescent="0.25">
      <c r="F46" s="6" t="s">
        <v>20</v>
      </c>
    </row>
    <row r="47" spans="1:13" x14ac:dyDescent="0.25">
      <c r="F47" s="8" t="s">
        <v>380</v>
      </c>
    </row>
  </sheetData>
  <pageMargins left="0.75" right="0.75" top="1" bottom="1" header="0.5" footer="0.5"/>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82"/>
  <sheetViews>
    <sheetView workbookViewId="0">
      <selection activeCell="F5" sqref="F5"/>
    </sheetView>
  </sheetViews>
  <sheetFormatPr defaultRowHeight="15" x14ac:dyDescent="0.25"/>
  <cols>
    <col min="1" max="1" width="14.7109375" customWidth="1"/>
    <col min="4" max="4" width="10" customWidth="1"/>
  </cols>
  <sheetData>
    <row r="1" spans="1:4" x14ac:dyDescent="0.25">
      <c r="A1" s="1" t="s">
        <v>374</v>
      </c>
      <c r="B1" s="1" t="s">
        <v>375</v>
      </c>
      <c r="C1" s="1" t="s">
        <v>366</v>
      </c>
      <c r="D1" s="1" t="s">
        <v>376</v>
      </c>
    </row>
    <row r="2" spans="1:4" x14ac:dyDescent="0.25">
      <c r="A2" s="2">
        <v>45658</v>
      </c>
      <c r="B2">
        <v>2025</v>
      </c>
      <c r="C2" t="s">
        <v>368</v>
      </c>
      <c r="D2" t="s">
        <v>377</v>
      </c>
    </row>
    <row r="3" spans="1:4" x14ac:dyDescent="0.25">
      <c r="A3" s="2">
        <v>45659</v>
      </c>
      <c r="B3">
        <v>2025</v>
      </c>
      <c r="C3" t="s">
        <v>368</v>
      </c>
      <c r="D3" t="s">
        <v>377</v>
      </c>
    </row>
    <row r="4" spans="1:4" x14ac:dyDescent="0.25">
      <c r="A4" s="2">
        <v>45660</v>
      </c>
      <c r="B4">
        <v>2025</v>
      </c>
      <c r="C4" t="s">
        <v>368</v>
      </c>
      <c r="D4" t="s">
        <v>377</v>
      </c>
    </row>
    <row r="5" spans="1:4" x14ac:dyDescent="0.25">
      <c r="A5" s="2">
        <v>45661</v>
      </c>
      <c r="B5">
        <v>2025</v>
      </c>
      <c r="C5" t="s">
        <v>368</v>
      </c>
      <c r="D5" t="s">
        <v>377</v>
      </c>
    </row>
    <row r="6" spans="1:4" x14ac:dyDescent="0.25">
      <c r="A6" s="2">
        <v>45662</v>
      </c>
      <c r="B6">
        <v>2025</v>
      </c>
      <c r="C6" t="s">
        <v>368</v>
      </c>
      <c r="D6" t="s">
        <v>377</v>
      </c>
    </row>
    <row r="7" spans="1:4" x14ac:dyDescent="0.25">
      <c r="A7" s="2">
        <v>45663</v>
      </c>
      <c r="B7">
        <v>2025</v>
      </c>
      <c r="C7" t="s">
        <v>368</v>
      </c>
      <c r="D7" t="s">
        <v>377</v>
      </c>
    </row>
    <row r="8" spans="1:4" x14ac:dyDescent="0.25">
      <c r="A8" s="2">
        <v>45664</v>
      </c>
      <c r="B8">
        <v>2025</v>
      </c>
      <c r="C8" t="s">
        <v>368</v>
      </c>
      <c r="D8" t="s">
        <v>377</v>
      </c>
    </row>
    <row r="9" spans="1:4" x14ac:dyDescent="0.25">
      <c r="A9" s="2">
        <v>45665</v>
      </c>
      <c r="B9">
        <v>2025</v>
      </c>
      <c r="C9" t="s">
        <v>368</v>
      </c>
      <c r="D9" t="s">
        <v>377</v>
      </c>
    </row>
    <row r="10" spans="1:4" x14ac:dyDescent="0.25">
      <c r="A10" s="2">
        <v>45666</v>
      </c>
      <c r="B10">
        <v>2025</v>
      </c>
      <c r="C10" t="s">
        <v>368</v>
      </c>
      <c r="D10" t="s">
        <v>377</v>
      </c>
    </row>
    <row r="11" spans="1:4" x14ac:dyDescent="0.25">
      <c r="A11" s="2">
        <v>45667</v>
      </c>
      <c r="B11">
        <v>2025</v>
      </c>
      <c r="C11" t="s">
        <v>368</v>
      </c>
      <c r="D11" t="s">
        <v>377</v>
      </c>
    </row>
    <row r="12" spans="1:4" x14ac:dyDescent="0.25">
      <c r="A12" s="2">
        <v>45668</v>
      </c>
      <c r="B12">
        <v>2025</v>
      </c>
      <c r="C12" t="s">
        <v>368</v>
      </c>
      <c r="D12" t="s">
        <v>377</v>
      </c>
    </row>
    <row r="13" spans="1:4" x14ac:dyDescent="0.25">
      <c r="A13" s="2">
        <v>45669</v>
      </c>
      <c r="B13">
        <v>2025</v>
      </c>
      <c r="C13" t="s">
        <v>368</v>
      </c>
      <c r="D13" t="s">
        <v>377</v>
      </c>
    </row>
    <row r="14" spans="1:4" x14ac:dyDescent="0.25">
      <c r="A14" s="2">
        <v>45670</v>
      </c>
      <c r="B14">
        <v>2025</v>
      </c>
      <c r="C14" t="s">
        <v>368</v>
      </c>
      <c r="D14" t="s">
        <v>377</v>
      </c>
    </row>
    <row r="15" spans="1:4" x14ac:dyDescent="0.25">
      <c r="A15" s="2">
        <v>45671</v>
      </c>
      <c r="B15">
        <v>2025</v>
      </c>
      <c r="C15" t="s">
        <v>368</v>
      </c>
      <c r="D15" t="s">
        <v>377</v>
      </c>
    </row>
    <row r="16" spans="1:4" x14ac:dyDescent="0.25">
      <c r="A16" s="2">
        <v>45672</v>
      </c>
      <c r="B16">
        <v>2025</v>
      </c>
      <c r="C16" t="s">
        <v>368</v>
      </c>
      <c r="D16" t="s">
        <v>377</v>
      </c>
    </row>
    <row r="17" spans="1:4" x14ac:dyDescent="0.25">
      <c r="A17" s="2">
        <v>45673</v>
      </c>
      <c r="B17">
        <v>2025</v>
      </c>
      <c r="C17" t="s">
        <v>368</v>
      </c>
      <c r="D17" t="s">
        <v>377</v>
      </c>
    </row>
    <row r="18" spans="1:4" x14ac:dyDescent="0.25">
      <c r="A18" s="2">
        <v>45674</v>
      </c>
      <c r="B18">
        <v>2025</v>
      </c>
      <c r="C18" t="s">
        <v>368</v>
      </c>
      <c r="D18" t="s">
        <v>377</v>
      </c>
    </row>
    <row r="19" spans="1:4" x14ac:dyDescent="0.25">
      <c r="A19" s="2">
        <v>45675</v>
      </c>
      <c r="B19">
        <v>2025</v>
      </c>
      <c r="C19" t="s">
        <v>368</v>
      </c>
      <c r="D19" t="s">
        <v>377</v>
      </c>
    </row>
    <row r="20" spans="1:4" x14ac:dyDescent="0.25">
      <c r="A20" s="2">
        <v>45676</v>
      </c>
      <c r="B20">
        <v>2025</v>
      </c>
      <c r="C20" t="s">
        <v>368</v>
      </c>
      <c r="D20" t="s">
        <v>377</v>
      </c>
    </row>
    <row r="21" spans="1:4" x14ac:dyDescent="0.25">
      <c r="A21" s="2">
        <v>45677</v>
      </c>
      <c r="B21">
        <v>2025</v>
      </c>
      <c r="C21" t="s">
        <v>368</v>
      </c>
      <c r="D21" t="s">
        <v>377</v>
      </c>
    </row>
    <row r="22" spans="1:4" x14ac:dyDescent="0.25">
      <c r="A22" s="2">
        <v>45678</v>
      </c>
      <c r="B22">
        <v>2025</v>
      </c>
      <c r="C22" t="s">
        <v>368</v>
      </c>
      <c r="D22" t="s">
        <v>377</v>
      </c>
    </row>
    <row r="23" spans="1:4" x14ac:dyDescent="0.25">
      <c r="A23" s="2">
        <v>45679</v>
      </c>
      <c r="B23">
        <v>2025</v>
      </c>
      <c r="C23" t="s">
        <v>368</v>
      </c>
      <c r="D23" t="s">
        <v>377</v>
      </c>
    </row>
    <row r="24" spans="1:4" x14ac:dyDescent="0.25">
      <c r="A24" s="2">
        <v>45680</v>
      </c>
      <c r="B24">
        <v>2025</v>
      </c>
      <c r="C24" t="s">
        <v>368</v>
      </c>
      <c r="D24" t="s">
        <v>377</v>
      </c>
    </row>
    <row r="25" spans="1:4" x14ac:dyDescent="0.25">
      <c r="A25" s="2">
        <v>45681</v>
      </c>
      <c r="B25">
        <v>2025</v>
      </c>
      <c r="C25" t="s">
        <v>368</v>
      </c>
      <c r="D25" t="s">
        <v>377</v>
      </c>
    </row>
    <row r="26" spans="1:4" x14ac:dyDescent="0.25">
      <c r="A26" s="2">
        <v>45682</v>
      </c>
      <c r="B26">
        <v>2025</v>
      </c>
      <c r="C26" t="s">
        <v>368</v>
      </c>
      <c r="D26" t="s">
        <v>377</v>
      </c>
    </row>
    <row r="27" spans="1:4" x14ac:dyDescent="0.25">
      <c r="A27" s="2">
        <v>45683</v>
      </c>
      <c r="B27">
        <v>2025</v>
      </c>
      <c r="C27" t="s">
        <v>368</v>
      </c>
      <c r="D27" t="s">
        <v>377</v>
      </c>
    </row>
    <row r="28" spans="1:4" x14ac:dyDescent="0.25">
      <c r="A28" s="2">
        <v>45684</v>
      </c>
      <c r="B28">
        <v>2025</v>
      </c>
      <c r="C28" t="s">
        <v>368</v>
      </c>
      <c r="D28" t="s">
        <v>377</v>
      </c>
    </row>
    <row r="29" spans="1:4" x14ac:dyDescent="0.25">
      <c r="A29" s="2">
        <v>45685</v>
      </c>
      <c r="B29">
        <v>2025</v>
      </c>
      <c r="C29" t="s">
        <v>368</v>
      </c>
      <c r="D29" t="s">
        <v>377</v>
      </c>
    </row>
    <row r="30" spans="1:4" x14ac:dyDescent="0.25">
      <c r="A30" s="2">
        <v>45686</v>
      </c>
      <c r="B30">
        <v>2025</v>
      </c>
      <c r="C30" t="s">
        <v>368</v>
      </c>
      <c r="D30" t="s">
        <v>377</v>
      </c>
    </row>
    <row r="31" spans="1:4" x14ac:dyDescent="0.25">
      <c r="A31" s="2">
        <v>45687</v>
      </c>
      <c r="B31">
        <v>2025</v>
      </c>
      <c r="C31" t="s">
        <v>368</v>
      </c>
      <c r="D31" t="s">
        <v>377</v>
      </c>
    </row>
    <row r="32" spans="1:4" x14ac:dyDescent="0.25">
      <c r="A32" s="2">
        <v>45688</v>
      </c>
      <c r="B32">
        <v>2025</v>
      </c>
      <c r="C32" t="s">
        <v>368</v>
      </c>
      <c r="D32" t="s">
        <v>377</v>
      </c>
    </row>
    <row r="33" spans="1:4" x14ac:dyDescent="0.25">
      <c r="A33" s="2">
        <v>45689</v>
      </c>
      <c r="B33">
        <v>2025</v>
      </c>
      <c r="C33" t="s">
        <v>369</v>
      </c>
      <c r="D33" t="s">
        <v>377</v>
      </c>
    </row>
    <row r="34" spans="1:4" x14ac:dyDescent="0.25">
      <c r="A34" s="2">
        <v>45690</v>
      </c>
      <c r="B34">
        <v>2025</v>
      </c>
      <c r="C34" t="s">
        <v>369</v>
      </c>
      <c r="D34" t="s">
        <v>377</v>
      </c>
    </row>
    <row r="35" spans="1:4" x14ac:dyDescent="0.25">
      <c r="A35" s="2">
        <v>45691</v>
      </c>
      <c r="B35">
        <v>2025</v>
      </c>
      <c r="C35" t="s">
        <v>369</v>
      </c>
      <c r="D35" t="s">
        <v>377</v>
      </c>
    </row>
    <row r="36" spans="1:4" x14ac:dyDescent="0.25">
      <c r="A36" s="2">
        <v>45692</v>
      </c>
      <c r="B36">
        <v>2025</v>
      </c>
      <c r="C36" t="s">
        <v>369</v>
      </c>
      <c r="D36" t="s">
        <v>377</v>
      </c>
    </row>
    <row r="37" spans="1:4" x14ac:dyDescent="0.25">
      <c r="A37" s="2">
        <v>45693</v>
      </c>
      <c r="B37">
        <v>2025</v>
      </c>
      <c r="C37" t="s">
        <v>369</v>
      </c>
      <c r="D37" t="s">
        <v>377</v>
      </c>
    </row>
    <row r="38" spans="1:4" x14ac:dyDescent="0.25">
      <c r="A38" s="2">
        <v>45694</v>
      </c>
      <c r="B38">
        <v>2025</v>
      </c>
      <c r="C38" t="s">
        <v>369</v>
      </c>
      <c r="D38" t="s">
        <v>377</v>
      </c>
    </row>
    <row r="39" spans="1:4" x14ac:dyDescent="0.25">
      <c r="A39" s="2">
        <v>45695</v>
      </c>
      <c r="B39">
        <v>2025</v>
      </c>
      <c r="C39" t="s">
        <v>369</v>
      </c>
      <c r="D39" t="s">
        <v>377</v>
      </c>
    </row>
    <row r="40" spans="1:4" x14ac:dyDescent="0.25">
      <c r="A40" s="2">
        <v>45696</v>
      </c>
      <c r="B40">
        <v>2025</v>
      </c>
      <c r="C40" t="s">
        <v>369</v>
      </c>
      <c r="D40" t="s">
        <v>377</v>
      </c>
    </row>
    <row r="41" spans="1:4" x14ac:dyDescent="0.25">
      <c r="A41" s="2">
        <v>45697</v>
      </c>
      <c r="B41">
        <v>2025</v>
      </c>
      <c r="C41" t="s">
        <v>369</v>
      </c>
      <c r="D41" t="s">
        <v>377</v>
      </c>
    </row>
    <row r="42" spans="1:4" x14ac:dyDescent="0.25">
      <c r="A42" s="2">
        <v>45698</v>
      </c>
      <c r="B42">
        <v>2025</v>
      </c>
      <c r="C42" t="s">
        <v>369</v>
      </c>
      <c r="D42" t="s">
        <v>377</v>
      </c>
    </row>
    <row r="43" spans="1:4" x14ac:dyDescent="0.25">
      <c r="A43" s="2">
        <v>45699</v>
      </c>
      <c r="B43">
        <v>2025</v>
      </c>
      <c r="C43" t="s">
        <v>369</v>
      </c>
      <c r="D43" t="s">
        <v>377</v>
      </c>
    </row>
    <row r="44" spans="1:4" x14ac:dyDescent="0.25">
      <c r="A44" s="2">
        <v>45700</v>
      </c>
      <c r="B44">
        <v>2025</v>
      </c>
      <c r="C44" t="s">
        <v>369</v>
      </c>
      <c r="D44" t="s">
        <v>377</v>
      </c>
    </row>
    <row r="45" spans="1:4" x14ac:dyDescent="0.25">
      <c r="A45" s="2">
        <v>45701</v>
      </c>
      <c r="B45">
        <v>2025</v>
      </c>
      <c r="C45" t="s">
        <v>369</v>
      </c>
      <c r="D45" t="s">
        <v>377</v>
      </c>
    </row>
    <row r="46" spans="1:4" x14ac:dyDescent="0.25">
      <c r="A46" s="2">
        <v>45702</v>
      </c>
      <c r="B46">
        <v>2025</v>
      </c>
      <c r="C46" t="s">
        <v>369</v>
      </c>
      <c r="D46" t="s">
        <v>377</v>
      </c>
    </row>
    <row r="47" spans="1:4" x14ac:dyDescent="0.25">
      <c r="A47" s="2">
        <v>45703</v>
      </c>
      <c r="B47">
        <v>2025</v>
      </c>
      <c r="C47" t="s">
        <v>369</v>
      </c>
      <c r="D47" t="s">
        <v>377</v>
      </c>
    </row>
    <row r="48" spans="1:4" x14ac:dyDescent="0.25">
      <c r="A48" s="2">
        <v>45704</v>
      </c>
      <c r="B48">
        <v>2025</v>
      </c>
      <c r="C48" t="s">
        <v>369</v>
      </c>
      <c r="D48" t="s">
        <v>377</v>
      </c>
    </row>
    <row r="49" spans="1:4" x14ac:dyDescent="0.25">
      <c r="A49" s="2">
        <v>45705</v>
      </c>
      <c r="B49">
        <v>2025</v>
      </c>
      <c r="C49" t="s">
        <v>369</v>
      </c>
      <c r="D49" t="s">
        <v>377</v>
      </c>
    </row>
    <row r="50" spans="1:4" x14ac:dyDescent="0.25">
      <c r="A50" s="2">
        <v>45706</v>
      </c>
      <c r="B50">
        <v>2025</v>
      </c>
      <c r="C50" t="s">
        <v>369</v>
      </c>
      <c r="D50" t="s">
        <v>377</v>
      </c>
    </row>
    <row r="51" spans="1:4" x14ac:dyDescent="0.25">
      <c r="A51" s="2">
        <v>45707</v>
      </c>
      <c r="B51">
        <v>2025</v>
      </c>
      <c r="C51" t="s">
        <v>369</v>
      </c>
      <c r="D51" t="s">
        <v>377</v>
      </c>
    </row>
    <row r="52" spans="1:4" x14ac:dyDescent="0.25">
      <c r="A52" s="2">
        <v>45708</v>
      </c>
      <c r="B52">
        <v>2025</v>
      </c>
      <c r="C52" t="s">
        <v>369</v>
      </c>
      <c r="D52" t="s">
        <v>377</v>
      </c>
    </row>
    <row r="53" spans="1:4" x14ac:dyDescent="0.25">
      <c r="A53" s="2">
        <v>45709</v>
      </c>
      <c r="B53">
        <v>2025</v>
      </c>
      <c r="C53" t="s">
        <v>369</v>
      </c>
      <c r="D53" t="s">
        <v>377</v>
      </c>
    </row>
    <row r="54" spans="1:4" x14ac:dyDescent="0.25">
      <c r="A54" s="2">
        <v>45710</v>
      </c>
      <c r="B54">
        <v>2025</v>
      </c>
      <c r="C54" t="s">
        <v>369</v>
      </c>
      <c r="D54" t="s">
        <v>377</v>
      </c>
    </row>
    <row r="55" spans="1:4" x14ac:dyDescent="0.25">
      <c r="A55" s="2">
        <v>45711</v>
      </c>
      <c r="B55">
        <v>2025</v>
      </c>
      <c r="C55" t="s">
        <v>369</v>
      </c>
      <c r="D55" t="s">
        <v>377</v>
      </c>
    </row>
    <row r="56" spans="1:4" x14ac:dyDescent="0.25">
      <c r="A56" s="2">
        <v>45712</v>
      </c>
      <c r="B56">
        <v>2025</v>
      </c>
      <c r="C56" t="s">
        <v>369</v>
      </c>
      <c r="D56" t="s">
        <v>377</v>
      </c>
    </row>
    <row r="57" spans="1:4" x14ac:dyDescent="0.25">
      <c r="A57" s="2">
        <v>45713</v>
      </c>
      <c r="B57">
        <v>2025</v>
      </c>
      <c r="C57" t="s">
        <v>369</v>
      </c>
      <c r="D57" t="s">
        <v>377</v>
      </c>
    </row>
    <row r="58" spans="1:4" x14ac:dyDescent="0.25">
      <c r="A58" s="2">
        <v>45714</v>
      </c>
      <c r="B58">
        <v>2025</v>
      </c>
      <c r="C58" t="s">
        <v>369</v>
      </c>
      <c r="D58" t="s">
        <v>377</v>
      </c>
    </row>
    <row r="59" spans="1:4" x14ac:dyDescent="0.25">
      <c r="A59" s="2">
        <v>45715</v>
      </c>
      <c r="B59">
        <v>2025</v>
      </c>
      <c r="C59" t="s">
        <v>369</v>
      </c>
      <c r="D59" t="s">
        <v>377</v>
      </c>
    </row>
    <row r="60" spans="1:4" x14ac:dyDescent="0.25">
      <c r="A60" s="2">
        <v>45716</v>
      </c>
      <c r="B60">
        <v>2025</v>
      </c>
      <c r="C60" t="s">
        <v>369</v>
      </c>
      <c r="D60" t="s">
        <v>377</v>
      </c>
    </row>
    <row r="61" spans="1:4" x14ac:dyDescent="0.25">
      <c r="A61" s="2">
        <v>45717</v>
      </c>
      <c r="B61">
        <v>2025</v>
      </c>
      <c r="C61" t="s">
        <v>370</v>
      </c>
      <c r="D61" t="s">
        <v>377</v>
      </c>
    </row>
    <row r="62" spans="1:4" x14ac:dyDescent="0.25">
      <c r="A62" s="2">
        <v>45718</v>
      </c>
      <c r="B62">
        <v>2025</v>
      </c>
      <c r="C62" t="s">
        <v>370</v>
      </c>
      <c r="D62" t="s">
        <v>377</v>
      </c>
    </row>
    <row r="63" spans="1:4" x14ac:dyDescent="0.25">
      <c r="A63" s="2">
        <v>45719</v>
      </c>
      <c r="B63">
        <v>2025</v>
      </c>
      <c r="C63" t="s">
        <v>370</v>
      </c>
      <c r="D63" t="s">
        <v>377</v>
      </c>
    </row>
    <row r="64" spans="1:4" x14ac:dyDescent="0.25">
      <c r="A64" s="2">
        <v>45720</v>
      </c>
      <c r="B64">
        <v>2025</v>
      </c>
      <c r="C64" t="s">
        <v>370</v>
      </c>
      <c r="D64" t="s">
        <v>377</v>
      </c>
    </row>
    <row r="65" spans="1:4" x14ac:dyDescent="0.25">
      <c r="A65" s="2">
        <v>45721</v>
      </c>
      <c r="B65">
        <v>2025</v>
      </c>
      <c r="C65" t="s">
        <v>370</v>
      </c>
      <c r="D65" t="s">
        <v>377</v>
      </c>
    </row>
    <row r="66" spans="1:4" x14ac:dyDescent="0.25">
      <c r="A66" s="2">
        <v>45722</v>
      </c>
      <c r="B66">
        <v>2025</v>
      </c>
      <c r="C66" t="s">
        <v>370</v>
      </c>
      <c r="D66" t="s">
        <v>377</v>
      </c>
    </row>
    <row r="67" spans="1:4" x14ac:dyDescent="0.25">
      <c r="A67" s="2">
        <v>45723</v>
      </c>
      <c r="B67">
        <v>2025</v>
      </c>
      <c r="C67" t="s">
        <v>370</v>
      </c>
      <c r="D67" t="s">
        <v>377</v>
      </c>
    </row>
    <row r="68" spans="1:4" x14ac:dyDescent="0.25">
      <c r="A68" s="2">
        <v>45724</v>
      </c>
      <c r="B68">
        <v>2025</v>
      </c>
      <c r="C68" t="s">
        <v>370</v>
      </c>
      <c r="D68" t="s">
        <v>377</v>
      </c>
    </row>
    <row r="69" spans="1:4" x14ac:dyDescent="0.25">
      <c r="A69" s="2">
        <v>45725</v>
      </c>
      <c r="B69">
        <v>2025</v>
      </c>
      <c r="C69" t="s">
        <v>370</v>
      </c>
      <c r="D69" t="s">
        <v>377</v>
      </c>
    </row>
    <row r="70" spans="1:4" x14ac:dyDescent="0.25">
      <c r="A70" s="2">
        <v>45726</v>
      </c>
      <c r="B70">
        <v>2025</v>
      </c>
      <c r="C70" t="s">
        <v>370</v>
      </c>
      <c r="D70" t="s">
        <v>377</v>
      </c>
    </row>
    <row r="71" spans="1:4" x14ac:dyDescent="0.25">
      <c r="A71" s="2">
        <v>45727</v>
      </c>
      <c r="B71">
        <v>2025</v>
      </c>
      <c r="C71" t="s">
        <v>370</v>
      </c>
      <c r="D71" t="s">
        <v>377</v>
      </c>
    </row>
    <row r="72" spans="1:4" x14ac:dyDescent="0.25">
      <c r="A72" s="2">
        <v>45728</v>
      </c>
      <c r="B72">
        <v>2025</v>
      </c>
      <c r="C72" t="s">
        <v>370</v>
      </c>
      <c r="D72" t="s">
        <v>377</v>
      </c>
    </row>
    <row r="73" spans="1:4" x14ac:dyDescent="0.25">
      <c r="A73" s="2">
        <v>45729</v>
      </c>
      <c r="B73">
        <v>2025</v>
      </c>
      <c r="C73" t="s">
        <v>370</v>
      </c>
      <c r="D73" t="s">
        <v>377</v>
      </c>
    </row>
    <row r="74" spans="1:4" x14ac:dyDescent="0.25">
      <c r="A74" s="2">
        <v>45730</v>
      </c>
      <c r="B74">
        <v>2025</v>
      </c>
      <c r="C74" t="s">
        <v>370</v>
      </c>
      <c r="D74" t="s">
        <v>377</v>
      </c>
    </row>
    <row r="75" spans="1:4" x14ac:dyDescent="0.25">
      <c r="A75" s="2">
        <v>45731</v>
      </c>
      <c r="B75">
        <v>2025</v>
      </c>
      <c r="C75" t="s">
        <v>370</v>
      </c>
      <c r="D75" t="s">
        <v>377</v>
      </c>
    </row>
    <row r="76" spans="1:4" x14ac:dyDescent="0.25">
      <c r="A76" s="2">
        <v>45732</v>
      </c>
      <c r="B76">
        <v>2025</v>
      </c>
      <c r="C76" t="s">
        <v>370</v>
      </c>
      <c r="D76" t="s">
        <v>377</v>
      </c>
    </row>
    <row r="77" spans="1:4" x14ac:dyDescent="0.25">
      <c r="A77" s="2">
        <v>45733</v>
      </c>
      <c r="B77">
        <v>2025</v>
      </c>
      <c r="C77" t="s">
        <v>370</v>
      </c>
      <c r="D77" t="s">
        <v>377</v>
      </c>
    </row>
    <row r="78" spans="1:4" x14ac:dyDescent="0.25">
      <c r="A78" s="2">
        <v>45734</v>
      </c>
      <c r="B78">
        <v>2025</v>
      </c>
      <c r="C78" t="s">
        <v>370</v>
      </c>
      <c r="D78" t="s">
        <v>377</v>
      </c>
    </row>
    <row r="79" spans="1:4" x14ac:dyDescent="0.25">
      <c r="A79" s="2">
        <v>45735</v>
      </c>
      <c r="B79">
        <v>2025</v>
      </c>
      <c r="C79" t="s">
        <v>370</v>
      </c>
      <c r="D79" t="s">
        <v>377</v>
      </c>
    </row>
    <row r="80" spans="1:4" x14ac:dyDescent="0.25">
      <c r="A80" s="2">
        <v>45736</v>
      </c>
      <c r="B80">
        <v>2025</v>
      </c>
      <c r="C80" t="s">
        <v>370</v>
      </c>
      <c r="D80" t="s">
        <v>377</v>
      </c>
    </row>
    <row r="81" spans="1:4" x14ac:dyDescent="0.25">
      <c r="A81" s="2">
        <v>45737</v>
      </c>
      <c r="B81">
        <v>2025</v>
      </c>
      <c r="C81" t="s">
        <v>370</v>
      </c>
      <c r="D81" t="s">
        <v>377</v>
      </c>
    </row>
    <row r="82" spans="1:4" x14ac:dyDescent="0.25">
      <c r="A82" s="2">
        <v>45738</v>
      </c>
      <c r="B82">
        <v>2025</v>
      </c>
      <c r="C82" t="s">
        <v>370</v>
      </c>
      <c r="D82" t="s">
        <v>377</v>
      </c>
    </row>
    <row r="83" spans="1:4" x14ac:dyDescent="0.25">
      <c r="A83" s="2">
        <v>45739</v>
      </c>
      <c r="B83">
        <v>2025</v>
      </c>
      <c r="C83" t="s">
        <v>370</v>
      </c>
      <c r="D83" t="s">
        <v>377</v>
      </c>
    </row>
    <row r="84" spans="1:4" x14ac:dyDescent="0.25">
      <c r="A84" s="2">
        <v>45740</v>
      </c>
      <c r="B84">
        <v>2025</v>
      </c>
      <c r="C84" t="s">
        <v>370</v>
      </c>
      <c r="D84" t="s">
        <v>377</v>
      </c>
    </row>
    <row r="85" spans="1:4" x14ac:dyDescent="0.25">
      <c r="A85" s="2">
        <v>45741</v>
      </c>
      <c r="B85">
        <v>2025</v>
      </c>
      <c r="C85" t="s">
        <v>370</v>
      </c>
      <c r="D85" t="s">
        <v>377</v>
      </c>
    </row>
    <row r="86" spans="1:4" x14ac:dyDescent="0.25">
      <c r="A86" s="2">
        <v>45742</v>
      </c>
      <c r="B86">
        <v>2025</v>
      </c>
      <c r="C86" t="s">
        <v>370</v>
      </c>
      <c r="D86" t="s">
        <v>377</v>
      </c>
    </row>
    <row r="87" spans="1:4" x14ac:dyDescent="0.25">
      <c r="A87" s="2">
        <v>45743</v>
      </c>
      <c r="B87">
        <v>2025</v>
      </c>
      <c r="C87" t="s">
        <v>370</v>
      </c>
      <c r="D87" t="s">
        <v>377</v>
      </c>
    </row>
    <row r="88" spans="1:4" x14ac:dyDescent="0.25">
      <c r="A88" s="2">
        <v>45744</v>
      </c>
      <c r="B88">
        <v>2025</v>
      </c>
      <c r="C88" t="s">
        <v>370</v>
      </c>
      <c r="D88" t="s">
        <v>377</v>
      </c>
    </row>
    <row r="89" spans="1:4" x14ac:dyDescent="0.25">
      <c r="A89" s="2">
        <v>45745</v>
      </c>
      <c r="B89">
        <v>2025</v>
      </c>
      <c r="C89" t="s">
        <v>370</v>
      </c>
      <c r="D89" t="s">
        <v>377</v>
      </c>
    </row>
    <row r="90" spans="1:4" x14ac:dyDescent="0.25">
      <c r="A90" s="2">
        <v>45746</v>
      </c>
      <c r="B90">
        <v>2025</v>
      </c>
      <c r="C90" t="s">
        <v>370</v>
      </c>
      <c r="D90" t="s">
        <v>377</v>
      </c>
    </row>
    <row r="91" spans="1:4" x14ac:dyDescent="0.25">
      <c r="A91" s="2">
        <v>45747</v>
      </c>
      <c r="B91">
        <v>2025</v>
      </c>
      <c r="C91" t="s">
        <v>370</v>
      </c>
      <c r="D91" t="s">
        <v>377</v>
      </c>
    </row>
    <row r="92" spans="1:4" x14ac:dyDescent="0.25">
      <c r="A92" s="2">
        <v>45748</v>
      </c>
      <c r="B92">
        <v>2025</v>
      </c>
      <c r="C92" t="s">
        <v>371</v>
      </c>
      <c r="D92" t="s">
        <v>378</v>
      </c>
    </row>
    <row r="93" spans="1:4" x14ac:dyDescent="0.25">
      <c r="A93" s="2">
        <v>45749</v>
      </c>
      <c r="B93">
        <v>2025</v>
      </c>
      <c r="C93" t="s">
        <v>371</v>
      </c>
      <c r="D93" t="s">
        <v>378</v>
      </c>
    </row>
    <row r="94" spans="1:4" x14ac:dyDescent="0.25">
      <c r="A94" s="2">
        <v>45750</v>
      </c>
      <c r="B94">
        <v>2025</v>
      </c>
      <c r="C94" t="s">
        <v>371</v>
      </c>
      <c r="D94" t="s">
        <v>378</v>
      </c>
    </row>
    <row r="95" spans="1:4" x14ac:dyDescent="0.25">
      <c r="A95" s="2">
        <v>45751</v>
      </c>
      <c r="B95">
        <v>2025</v>
      </c>
      <c r="C95" t="s">
        <v>371</v>
      </c>
      <c r="D95" t="s">
        <v>378</v>
      </c>
    </row>
    <row r="96" spans="1:4" x14ac:dyDescent="0.25">
      <c r="A96" s="2">
        <v>45752</v>
      </c>
      <c r="B96">
        <v>2025</v>
      </c>
      <c r="C96" t="s">
        <v>371</v>
      </c>
      <c r="D96" t="s">
        <v>378</v>
      </c>
    </row>
    <row r="97" spans="1:4" x14ac:dyDescent="0.25">
      <c r="A97" s="2">
        <v>45753</v>
      </c>
      <c r="B97">
        <v>2025</v>
      </c>
      <c r="C97" t="s">
        <v>371</v>
      </c>
      <c r="D97" t="s">
        <v>378</v>
      </c>
    </row>
    <row r="98" spans="1:4" x14ac:dyDescent="0.25">
      <c r="A98" s="2">
        <v>45754</v>
      </c>
      <c r="B98">
        <v>2025</v>
      </c>
      <c r="C98" t="s">
        <v>371</v>
      </c>
      <c r="D98" t="s">
        <v>378</v>
      </c>
    </row>
    <row r="99" spans="1:4" x14ac:dyDescent="0.25">
      <c r="A99" s="2">
        <v>45755</v>
      </c>
      <c r="B99">
        <v>2025</v>
      </c>
      <c r="C99" t="s">
        <v>371</v>
      </c>
      <c r="D99" t="s">
        <v>378</v>
      </c>
    </row>
    <row r="100" spans="1:4" x14ac:dyDescent="0.25">
      <c r="A100" s="2">
        <v>45756</v>
      </c>
      <c r="B100">
        <v>2025</v>
      </c>
      <c r="C100" t="s">
        <v>371</v>
      </c>
      <c r="D100" t="s">
        <v>378</v>
      </c>
    </row>
    <row r="101" spans="1:4" x14ac:dyDescent="0.25">
      <c r="A101" s="2">
        <v>45757</v>
      </c>
      <c r="B101">
        <v>2025</v>
      </c>
      <c r="C101" t="s">
        <v>371</v>
      </c>
      <c r="D101" t="s">
        <v>378</v>
      </c>
    </row>
    <row r="102" spans="1:4" x14ac:dyDescent="0.25">
      <c r="A102" s="2">
        <v>45758</v>
      </c>
      <c r="B102">
        <v>2025</v>
      </c>
      <c r="C102" t="s">
        <v>371</v>
      </c>
      <c r="D102" t="s">
        <v>378</v>
      </c>
    </row>
    <row r="103" spans="1:4" x14ac:dyDescent="0.25">
      <c r="A103" s="2">
        <v>45759</v>
      </c>
      <c r="B103">
        <v>2025</v>
      </c>
      <c r="C103" t="s">
        <v>371</v>
      </c>
      <c r="D103" t="s">
        <v>378</v>
      </c>
    </row>
    <row r="104" spans="1:4" x14ac:dyDescent="0.25">
      <c r="A104" s="2">
        <v>45760</v>
      </c>
      <c r="B104">
        <v>2025</v>
      </c>
      <c r="C104" t="s">
        <v>371</v>
      </c>
      <c r="D104" t="s">
        <v>378</v>
      </c>
    </row>
    <row r="105" spans="1:4" x14ac:dyDescent="0.25">
      <c r="A105" s="2">
        <v>45761</v>
      </c>
      <c r="B105">
        <v>2025</v>
      </c>
      <c r="C105" t="s">
        <v>371</v>
      </c>
      <c r="D105" t="s">
        <v>378</v>
      </c>
    </row>
    <row r="106" spans="1:4" x14ac:dyDescent="0.25">
      <c r="A106" s="2">
        <v>45762</v>
      </c>
      <c r="B106">
        <v>2025</v>
      </c>
      <c r="C106" t="s">
        <v>371</v>
      </c>
      <c r="D106" t="s">
        <v>378</v>
      </c>
    </row>
    <row r="107" spans="1:4" x14ac:dyDescent="0.25">
      <c r="A107" s="2">
        <v>45763</v>
      </c>
      <c r="B107">
        <v>2025</v>
      </c>
      <c r="C107" t="s">
        <v>371</v>
      </c>
      <c r="D107" t="s">
        <v>378</v>
      </c>
    </row>
    <row r="108" spans="1:4" x14ac:dyDescent="0.25">
      <c r="A108" s="2">
        <v>45764</v>
      </c>
      <c r="B108">
        <v>2025</v>
      </c>
      <c r="C108" t="s">
        <v>371</v>
      </c>
      <c r="D108" t="s">
        <v>378</v>
      </c>
    </row>
    <row r="109" spans="1:4" x14ac:dyDescent="0.25">
      <c r="A109" s="2">
        <v>45765</v>
      </c>
      <c r="B109">
        <v>2025</v>
      </c>
      <c r="C109" t="s">
        <v>371</v>
      </c>
      <c r="D109" t="s">
        <v>378</v>
      </c>
    </row>
    <row r="110" spans="1:4" x14ac:dyDescent="0.25">
      <c r="A110" s="2">
        <v>45766</v>
      </c>
      <c r="B110">
        <v>2025</v>
      </c>
      <c r="C110" t="s">
        <v>371</v>
      </c>
      <c r="D110" t="s">
        <v>378</v>
      </c>
    </row>
    <row r="111" spans="1:4" x14ac:dyDescent="0.25">
      <c r="A111" s="2">
        <v>45767</v>
      </c>
      <c r="B111">
        <v>2025</v>
      </c>
      <c r="C111" t="s">
        <v>371</v>
      </c>
      <c r="D111" t="s">
        <v>378</v>
      </c>
    </row>
    <row r="112" spans="1:4" x14ac:dyDescent="0.25">
      <c r="A112" s="2">
        <v>45768</v>
      </c>
      <c r="B112">
        <v>2025</v>
      </c>
      <c r="C112" t="s">
        <v>371</v>
      </c>
      <c r="D112" t="s">
        <v>378</v>
      </c>
    </row>
    <row r="113" spans="1:4" x14ac:dyDescent="0.25">
      <c r="A113" s="2">
        <v>45769</v>
      </c>
      <c r="B113">
        <v>2025</v>
      </c>
      <c r="C113" t="s">
        <v>371</v>
      </c>
      <c r="D113" t="s">
        <v>378</v>
      </c>
    </row>
    <row r="114" spans="1:4" x14ac:dyDescent="0.25">
      <c r="A114" s="2">
        <v>45770</v>
      </c>
      <c r="B114">
        <v>2025</v>
      </c>
      <c r="C114" t="s">
        <v>371</v>
      </c>
      <c r="D114" t="s">
        <v>378</v>
      </c>
    </row>
    <row r="115" spans="1:4" x14ac:dyDescent="0.25">
      <c r="A115" s="2">
        <v>45771</v>
      </c>
      <c r="B115">
        <v>2025</v>
      </c>
      <c r="C115" t="s">
        <v>371</v>
      </c>
      <c r="D115" t="s">
        <v>378</v>
      </c>
    </row>
    <row r="116" spans="1:4" x14ac:dyDescent="0.25">
      <c r="A116" s="2">
        <v>45772</v>
      </c>
      <c r="B116">
        <v>2025</v>
      </c>
      <c r="C116" t="s">
        <v>371</v>
      </c>
      <c r="D116" t="s">
        <v>378</v>
      </c>
    </row>
    <row r="117" spans="1:4" x14ac:dyDescent="0.25">
      <c r="A117" s="2">
        <v>45773</v>
      </c>
      <c r="B117">
        <v>2025</v>
      </c>
      <c r="C117" t="s">
        <v>371</v>
      </c>
      <c r="D117" t="s">
        <v>378</v>
      </c>
    </row>
    <row r="118" spans="1:4" x14ac:dyDescent="0.25">
      <c r="A118" s="2">
        <v>45774</v>
      </c>
      <c r="B118">
        <v>2025</v>
      </c>
      <c r="C118" t="s">
        <v>371</v>
      </c>
      <c r="D118" t="s">
        <v>378</v>
      </c>
    </row>
    <row r="119" spans="1:4" x14ac:dyDescent="0.25">
      <c r="A119" s="2">
        <v>45775</v>
      </c>
      <c r="B119">
        <v>2025</v>
      </c>
      <c r="C119" t="s">
        <v>371</v>
      </c>
      <c r="D119" t="s">
        <v>378</v>
      </c>
    </row>
    <row r="120" spans="1:4" x14ac:dyDescent="0.25">
      <c r="A120" s="2">
        <v>45776</v>
      </c>
      <c r="B120">
        <v>2025</v>
      </c>
      <c r="C120" t="s">
        <v>371</v>
      </c>
      <c r="D120" t="s">
        <v>378</v>
      </c>
    </row>
    <row r="121" spans="1:4" x14ac:dyDescent="0.25">
      <c r="A121" s="2">
        <v>45777</v>
      </c>
      <c r="B121">
        <v>2025</v>
      </c>
      <c r="C121" t="s">
        <v>371</v>
      </c>
      <c r="D121" t="s">
        <v>378</v>
      </c>
    </row>
    <row r="122" spans="1:4" x14ac:dyDescent="0.25">
      <c r="A122" s="2">
        <v>45778</v>
      </c>
      <c r="B122">
        <v>2025</v>
      </c>
      <c r="C122" t="s">
        <v>372</v>
      </c>
      <c r="D122" t="s">
        <v>378</v>
      </c>
    </row>
    <row r="123" spans="1:4" x14ac:dyDescent="0.25">
      <c r="A123" s="2">
        <v>45779</v>
      </c>
      <c r="B123">
        <v>2025</v>
      </c>
      <c r="C123" t="s">
        <v>372</v>
      </c>
      <c r="D123" t="s">
        <v>378</v>
      </c>
    </row>
    <row r="124" spans="1:4" x14ac:dyDescent="0.25">
      <c r="A124" s="2">
        <v>45780</v>
      </c>
      <c r="B124">
        <v>2025</v>
      </c>
      <c r="C124" t="s">
        <v>372</v>
      </c>
      <c r="D124" t="s">
        <v>378</v>
      </c>
    </row>
    <row r="125" spans="1:4" x14ac:dyDescent="0.25">
      <c r="A125" s="2">
        <v>45781</v>
      </c>
      <c r="B125">
        <v>2025</v>
      </c>
      <c r="C125" t="s">
        <v>372</v>
      </c>
      <c r="D125" t="s">
        <v>378</v>
      </c>
    </row>
    <row r="126" spans="1:4" x14ac:dyDescent="0.25">
      <c r="A126" s="2">
        <v>45782</v>
      </c>
      <c r="B126">
        <v>2025</v>
      </c>
      <c r="C126" t="s">
        <v>372</v>
      </c>
      <c r="D126" t="s">
        <v>378</v>
      </c>
    </row>
    <row r="127" spans="1:4" x14ac:dyDescent="0.25">
      <c r="A127" s="2">
        <v>45783</v>
      </c>
      <c r="B127">
        <v>2025</v>
      </c>
      <c r="C127" t="s">
        <v>372</v>
      </c>
      <c r="D127" t="s">
        <v>378</v>
      </c>
    </row>
    <row r="128" spans="1:4" x14ac:dyDescent="0.25">
      <c r="A128" s="2">
        <v>45784</v>
      </c>
      <c r="B128">
        <v>2025</v>
      </c>
      <c r="C128" t="s">
        <v>372</v>
      </c>
      <c r="D128" t="s">
        <v>378</v>
      </c>
    </row>
    <row r="129" spans="1:4" x14ac:dyDescent="0.25">
      <c r="A129" s="2">
        <v>45785</v>
      </c>
      <c r="B129">
        <v>2025</v>
      </c>
      <c r="C129" t="s">
        <v>372</v>
      </c>
      <c r="D129" t="s">
        <v>378</v>
      </c>
    </row>
    <row r="130" spans="1:4" x14ac:dyDescent="0.25">
      <c r="A130" s="2">
        <v>45786</v>
      </c>
      <c r="B130">
        <v>2025</v>
      </c>
      <c r="C130" t="s">
        <v>372</v>
      </c>
      <c r="D130" t="s">
        <v>378</v>
      </c>
    </row>
    <row r="131" spans="1:4" x14ac:dyDescent="0.25">
      <c r="A131" s="2">
        <v>45787</v>
      </c>
      <c r="B131">
        <v>2025</v>
      </c>
      <c r="C131" t="s">
        <v>372</v>
      </c>
      <c r="D131" t="s">
        <v>378</v>
      </c>
    </row>
    <row r="132" spans="1:4" x14ac:dyDescent="0.25">
      <c r="A132" s="2">
        <v>45788</v>
      </c>
      <c r="B132">
        <v>2025</v>
      </c>
      <c r="C132" t="s">
        <v>372</v>
      </c>
      <c r="D132" t="s">
        <v>378</v>
      </c>
    </row>
    <row r="133" spans="1:4" x14ac:dyDescent="0.25">
      <c r="A133" s="2">
        <v>45789</v>
      </c>
      <c r="B133">
        <v>2025</v>
      </c>
      <c r="C133" t="s">
        <v>372</v>
      </c>
      <c r="D133" t="s">
        <v>378</v>
      </c>
    </row>
    <row r="134" spans="1:4" x14ac:dyDescent="0.25">
      <c r="A134" s="2">
        <v>45790</v>
      </c>
      <c r="B134">
        <v>2025</v>
      </c>
      <c r="C134" t="s">
        <v>372</v>
      </c>
      <c r="D134" t="s">
        <v>378</v>
      </c>
    </row>
    <row r="135" spans="1:4" x14ac:dyDescent="0.25">
      <c r="A135" s="2">
        <v>45791</v>
      </c>
      <c r="B135">
        <v>2025</v>
      </c>
      <c r="C135" t="s">
        <v>372</v>
      </c>
      <c r="D135" t="s">
        <v>378</v>
      </c>
    </row>
    <row r="136" spans="1:4" x14ac:dyDescent="0.25">
      <c r="A136" s="2">
        <v>45792</v>
      </c>
      <c r="B136">
        <v>2025</v>
      </c>
      <c r="C136" t="s">
        <v>372</v>
      </c>
      <c r="D136" t="s">
        <v>378</v>
      </c>
    </row>
    <row r="137" spans="1:4" x14ac:dyDescent="0.25">
      <c r="A137" s="2">
        <v>45793</v>
      </c>
      <c r="B137">
        <v>2025</v>
      </c>
      <c r="C137" t="s">
        <v>372</v>
      </c>
      <c r="D137" t="s">
        <v>378</v>
      </c>
    </row>
    <row r="138" spans="1:4" x14ac:dyDescent="0.25">
      <c r="A138" s="2">
        <v>45794</v>
      </c>
      <c r="B138">
        <v>2025</v>
      </c>
      <c r="C138" t="s">
        <v>372</v>
      </c>
      <c r="D138" t="s">
        <v>378</v>
      </c>
    </row>
    <row r="139" spans="1:4" x14ac:dyDescent="0.25">
      <c r="A139" s="2">
        <v>45795</v>
      </c>
      <c r="B139">
        <v>2025</v>
      </c>
      <c r="C139" t="s">
        <v>372</v>
      </c>
      <c r="D139" t="s">
        <v>378</v>
      </c>
    </row>
    <row r="140" spans="1:4" x14ac:dyDescent="0.25">
      <c r="A140" s="2">
        <v>45796</v>
      </c>
      <c r="B140">
        <v>2025</v>
      </c>
      <c r="C140" t="s">
        <v>372</v>
      </c>
      <c r="D140" t="s">
        <v>378</v>
      </c>
    </row>
    <row r="141" spans="1:4" x14ac:dyDescent="0.25">
      <c r="A141" s="2">
        <v>45797</v>
      </c>
      <c r="B141">
        <v>2025</v>
      </c>
      <c r="C141" t="s">
        <v>372</v>
      </c>
      <c r="D141" t="s">
        <v>378</v>
      </c>
    </row>
    <row r="142" spans="1:4" x14ac:dyDescent="0.25">
      <c r="A142" s="2">
        <v>45798</v>
      </c>
      <c r="B142">
        <v>2025</v>
      </c>
      <c r="C142" t="s">
        <v>372</v>
      </c>
      <c r="D142" t="s">
        <v>378</v>
      </c>
    </row>
    <row r="143" spans="1:4" x14ac:dyDescent="0.25">
      <c r="A143" s="2">
        <v>45799</v>
      </c>
      <c r="B143">
        <v>2025</v>
      </c>
      <c r="C143" t="s">
        <v>372</v>
      </c>
      <c r="D143" t="s">
        <v>378</v>
      </c>
    </row>
    <row r="144" spans="1:4" x14ac:dyDescent="0.25">
      <c r="A144" s="2">
        <v>45800</v>
      </c>
      <c r="B144">
        <v>2025</v>
      </c>
      <c r="C144" t="s">
        <v>372</v>
      </c>
      <c r="D144" t="s">
        <v>378</v>
      </c>
    </row>
    <row r="145" spans="1:4" x14ac:dyDescent="0.25">
      <c r="A145" s="2">
        <v>45801</v>
      </c>
      <c r="B145">
        <v>2025</v>
      </c>
      <c r="C145" t="s">
        <v>372</v>
      </c>
      <c r="D145" t="s">
        <v>378</v>
      </c>
    </row>
    <row r="146" spans="1:4" x14ac:dyDescent="0.25">
      <c r="A146" s="2">
        <v>45802</v>
      </c>
      <c r="B146">
        <v>2025</v>
      </c>
      <c r="C146" t="s">
        <v>372</v>
      </c>
      <c r="D146" t="s">
        <v>378</v>
      </c>
    </row>
    <row r="147" spans="1:4" x14ac:dyDescent="0.25">
      <c r="A147" s="2">
        <v>45803</v>
      </c>
      <c r="B147">
        <v>2025</v>
      </c>
      <c r="C147" t="s">
        <v>372</v>
      </c>
      <c r="D147" t="s">
        <v>378</v>
      </c>
    </row>
    <row r="148" spans="1:4" x14ac:dyDescent="0.25">
      <c r="A148" s="2">
        <v>45804</v>
      </c>
      <c r="B148">
        <v>2025</v>
      </c>
      <c r="C148" t="s">
        <v>372</v>
      </c>
      <c r="D148" t="s">
        <v>378</v>
      </c>
    </row>
    <row r="149" spans="1:4" x14ac:dyDescent="0.25">
      <c r="A149" s="2">
        <v>45805</v>
      </c>
      <c r="B149">
        <v>2025</v>
      </c>
      <c r="C149" t="s">
        <v>372</v>
      </c>
      <c r="D149" t="s">
        <v>378</v>
      </c>
    </row>
    <row r="150" spans="1:4" x14ac:dyDescent="0.25">
      <c r="A150" s="2">
        <v>45806</v>
      </c>
      <c r="B150">
        <v>2025</v>
      </c>
      <c r="C150" t="s">
        <v>372</v>
      </c>
      <c r="D150" t="s">
        <v>378</v>
      </c>
    </row>
    <row r="151" spans="1:4" x14ac:dyDescent="0.25">
      <c r="A151" s="2">
        <v>45807</v>
      </c>
      <c r="B151">
        <v>2025</v>
      </c>
      <c r="C151" t="s">
        <v>372</v>
      </c>
      <c r="D151" t="s">
        <v>378</v>
      </c>
    </row>
    <row r="152" spans="1:4" x14ac:dyDescent="0.25">
      <c r="A152" s="2">
        <v>45808</v>
      </c>
      <c r="B152">
        <v>2025</v>
      </c>
      <c r="C152" t="s">
        <v>372</v>
      </c>
      <c r="D152" t="s">
        <v>378</v>
      </c>
    </row>
    <row r="153" spans="1:4" x14ac:dyDescent="0.25">
      <c r="A153" s="2">
        <v>45809</v>
      </c>
      <c r="B153">
        <v>2025</v>
      </c>
      <c r="C153" t="s">
        <v>373</v>
      </c>
      <c r="D153" t="s">
        <v>378</v>
      </c>
    </row>
    <row r="154" spans="1:4" x14ac:dyDescent="0.25">
      <c r="A154" s="2">
        <v>45810</v>
      </c>
      <c r="B154">
        <v>2025</v>
      </c>
      <c r="C154" t="s">
        <v>373</v>
      </c>
      <c r="D154" t="s">
        <v>378</v>
      </c>
    </row>
    <row r="155" spans="1:4" x14ac:dyDescent="0.25">
      <c r="A155" s="2">
        <v>45811</v>
      </c>
      <c r="B155">
        <v>2025</v>
      </c>
      <c r="C155" t="s">
        <v>373</v>
      </c>
      <c r="D155" t="s">
        <v>378</v>
      </c>
    </row>
    <row r="156" spans="1:4" x14ac:dyDescent="0.25">
      <c r="A156" s="2">
        <v>45812</v>
      </c>
      <c r="B156">
        <v>2025</v>
      </c>
      <c r="C156" t="s">
        <v>373</v>
      </c>
      <c r="D156" t="s">
        <v>378</v>
      </c>
    </row>
    <row r="157" spans="1:4" x14ac:dyDescent="0.25">
      <c r="A157" s="2">
        <v>45813</v>
      </c>
      <c r="B157">
        <v>2025</v>
      </c>
      <c r="C157" t="s">
        <v>373</v>
      </c>
      <c r="D157" t="s">
        <v>378</v>
      </c>
    </row>
    <row r="158" spans="1:4" x14ac:dyDescent="0.25">
      <c r="A158" s="2">
        <v>45814</v>
      </c>
      <c r="B158">
        <v>2025</v>
      </c>
      <c r="C158" t="s">
        <v>373</v>
      </c>
      <c r="D158" t="s">
        <v>378</v>
      </c>
    </row>
    <row r="159" spans="1:4" x14ac:dyDescent="0.25">
      <c r="A159" s="2">
        <v>45815</v>
      </c>
      <c r="B159">
        <v>2025</v>
      </c>
      <c r="C159" t="s">
        <v>373</v>
      </c>
      <c r="D159" t="s">
        <v>378</v>
      </c>
    </row>
    <row r="160" spans="1:4" x14ac:dyDescent="0.25">
      <c r="A160" s="2">
        <v>45816</v>
      </c>
      <c r="B160">
        <v>2025</v>
      </c>
      <c r="C160" t="s">
        <v>373</v>
      </c>
      <c r="D160" t="s">
        <v>378</v>
      </c>
    </row>
    <row r="161" spans="1:4" x14ac:dyDescent="0.25">
      <c r="A161" s="2">
        <v>45817</v>
      </c>
      <c r="B161">
        <v>2025</v>
      </c>
      <c r="C161" t="s">
        <v>373</v>
      </c>
      <c r="D161" t="s">
        <v>378</v>
      </c>
    </row>
    <row r="162" spans="1:4" x14ac:dyDescent="0.25">
      <c r="A162" s="2">
        <v>45818</v>
      </c>
      <c r="B162">
        <v>2025</v>
      </c>
      <c r="C162" t="s">
        <v>373</v>
      </c>
      <c r="D162" t="s">
        <v>378</v>
      </c>
    </row>
    <row r="163" spans="1:4" x14ac:dyDescent="0.25">
      <c r="A163" s="2">
        <v>45819</v>
      </c>
      <c r="B163">
        <v>2025</v>
      </c>
      <c r="C163" t="s">
        <v>373</v>
      </c>
      <c r="D163" t="s">
        <v>378</v>
      </c>
    </row>
    <row r="164" spans="1:4" x14ac:dyDescent="0.25">
      <c r="A164" s="2">
        <v>45820</v>
      </c>
      <c r="B164">
        <v>2025</v>
      </c>
      <c r="C164" t="s">
        <v>373</v>
      </c>
      <c r="D164" t="s">
        <v>378</v>
      </c>
    </row>
    <row r="165" spans="1:4" x14ac:dyDescent="0.25">
      <c r="A165" s="2">
        <v>45821</v>
      </c>
      <c r="B165">
        <v>2025</v>
      </c>
      <c r="C165" t="s">
        <v>373</v>
      </c>
      <c r="D165" t="s">
        <v>378</v>
      </c>
    </row>
    <row r="166" spans="1:4" x14ac:dyDescent="0.25">
      <c r="A166" s="2">
        <v>45822</v>
      </c>
      <c r="B166">
        <v>2025</v>
      </c>
      <c r="C166" t="s">
        <v>373</v>
      </c>
      <c r="D166" t="s">
        <v>378</v>
      </c>
    </row>
    <row r="167" spans="1:4" x14ac:dyDescent="0.25">
      <c r="A167" s="2">
        <v>45823</v>
      </c>
      <c r="B167">
        <v>2025</v>
      </c>
      <c r="C167" t="s">
        <v>373</v>
      </c>
      <c r="D167" t="s">
        <v>378</v>
      </c>
    </row>
    <row r="168" spans="1:4" x14ac:dyDescent="0.25">
      <c r="A168" s="2">
        <v>45824</v>
      </c>
      <c r="B168">
        <v>2025</v>
      </c>
      <c r="C168" t="s">
        <v>373</v>
      </c>
      <c r="D168" t="s">
        <v>378</v>
      </c>
    </row>
    <row r="169" spans="1:4" x14ac:dyDescent="0.25">
      <c r="A169" s="2">
        <v>45825</v>
      </c>
      <c r="B169">
        <v>2025</v>
      </c>
      <c r="C169" t="s">
        <v>373</v>
      </c>
      <c r="D169" t="s">
        <v>378</v>
      </c>
    </row>
    <row r="170" spans="1:4" x14ac:dyDescent="0.25">
      <c r="A170" s="2">
        <v>45826</v>
      </c>
      <c r="B170">
        <v>2025</v>
      </c>
      <c r="C170" t="s">
        <v>373</v>
      </c>
      <c r="D170" t="s">
        <v>378</v>
      </c>
    </row>
    <row r="171" spans="1:4" x14ac:dyDescent="0.25">
      <c r="A171" s="2">
        <v>45827</v>
      </c>
      <c r="B171">
        <v>2025</v>
      </c>
      <c r="C171" t="s">
        <v>373</v>
      </c>
      <c r="D171" t="s">
        <v>378</v>
      </c>
    </row>
    <row r="172" spans="1:4" x14ac:dyDescent="0.25">
      <c r="A172" s="2">
        <v>45828</v>
      </c>
      <c r="B172">
        <v>2025</v>
      </c>
      <c r="C172" t="s">
        <v>373</v>
      </c>
      <c r="D172" t="s">
        <v>378</v>
      </c>
    </row>
    <row r="173" spans="1:4" x14ac:dyDescent="0.25">
      <c r="A173" s="2">
        <v>45829</v>
      </c>
      <c r="B173">
        <v>2025</v>
      </c>
      <c r="C173" t="s">
        <v>373</v>
      </c>
      <c r="D173" t="s">
        <v>378</v>
      </c>
    </row>
    <row r="174" spans="1:4" x14ac:dyDescent="0.25">
      <c r="A174" s="2">
        <v>45830</v>
      </c>
      <c r="B174">
        <v>2025</v>
      </c>
      <c r="C174" t="s">
        <v>373</v>
      </c>
      <c r="D174" t="s">
        <v>378</v>
      </c>
    </row>
    <row r="175" spans="1:4" x14ac:dyDescent="0.25">
      <c r="A175" s="2">
        <v>45831</v>
      </c>
      <c r="B175">
        <v>2025</v>
      </c>
      <c r="C175" t="s">
        <v>373</v>
      </c>
      <c r="D175" t="s">
        <v>378</v>
      </c>
    </row>
    <row r="176" spans="1:4" x14ac:dyDescent="0.25">
      <c r="A176" s="2">
        <v>45832</v>
      </c>
      <c r="B176">
        <v>2025</v>
      </c>
      <c r="C176" t="s">
        <v>373</v>
      </c>
      <c r="D176" t="s">
        <v>378</v>
      </c>
    </row>
    <row r="177" spans="1:4" x14ac:dyDescent="0.25">
      <c r="A177" s="2">
        <v>45833</v>
      </c>
      <c r="B177">
        <v>2025</v>
      </c>
      <c r="C177" t="s">
        <v>373</v>
      </c>
      <c r="D177" t="s">
        <v>378</v>
      </c>
    </row>
    <row r="178" spans="1:4" x14ac:dyDescent="0.25">
      <c r="A178" s="2">
        <v>45834</v>
      </c>
      <c r="B178">
        <v>2025</v>
      </c>
      <c r="C178" t="s">
        <v>373</v>
      </c>
      <c r="D178" t="s">
        <v>378</v>
      </c>
    </row>
    <row r="179" spans="1:4" x14ac:dyDescent="0.25">
      <c r="A179" s="2">
        <v>45835</v>
      </c>
      <c r="B179">
        <v>2025</v>
      </c>
      <c r="C179" t="s">
        <v>373</v>
      </c>
      <c r="D179" t="s">
        <v>378</v>
      </c>
    </row>
    <row r="180" spans="1:4" x14ac:dyDescent="0.25">
      <c r="A180" s="2">
        <v>45836</v>
      </c>
      <c r="B180">
        <v>2025</v>
      </c>
      <c r="C180" t="s">
        <v>373</v>
      </c>
      <c r="D180" t="s">
        <v>378</v>
      </c>
    </row>
    <row r="181" spans="1:4" x14ac:dyDescent="0.25">
      <c r="A181" s="2">
        <v>45837</v>
      </c>
      <c r="B181">
        <v>2025</v>
      </c>
      <c r="C181" t="s">
        <v>373</v>
      </c>
      <c r="D181" t="s">
        <v>378</v>
      </c>
    </row>
    <row r="182" spans="1:4" x14ac:dyDescent="0.25">
      <c r="A182" s="2">
        <v>45838</v>
      </c>
      <c r="B182">
        <v>2025</v>
      </c>
      <c r="C182" t="s">
        <v>373</v>
      </c>
      <c r="D182" t="s">
        <v>378</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Sheet7</vt:lpstr>
      <vt:lpstr>Purchase_Orders</vt:lpstr>
      <vt:lpstr>Pivot1</vt:lpstr>
      <vt:lpstr>Pivot 2</vt:lpstr>
      <vt:lpstr>Pivot4</vt:lpstr>
      <vt:lpstr>Suppliers</vt:lpstr>
      <vt:lpstr>Pivot3</vt:lpstr>
      <vt:lpstr>Invoices</vt:lpstr>
      <vt:lpstr>Detail1</vt:lpstr>
      <vt:lpstr>Budget</vt:lpstr>
      <vt:lpstr>Calendar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Supriyo Mondal</cp:lastModifiedBy>
  <dcterms:created xsi:type="dcterms:W3CDTF">2026-06-26T09:24:49Z</dcterms:created>
  <dcterms:modified xsi:type="dcterms:W3CDTF">2026-06-27T05:17:02Z</dcterms:modified>
</cp:coreProperties>
</file>